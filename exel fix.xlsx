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I191" i="1" l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>
  <authors>
    <author/>
  </authors>
  <commentList>
    <comment ref="C27" authorId="0">
      <text>
        <r>
          <rPr>
            <sz val="11"/>
            <color theme="1"/>
            <rFont val="Calibri"/>
            <scheme val="minor"/>
          </rPr>
          <t>======
ID#AAAAoyWcDYg
Zahrotul Jannah    (2023-01-21 01:40:19)
CTU MUS</t>
        </r>
      </text>
    </comment>
    <comment ref="C28" authorId="0">
      <text>
        <r>
          <rPr>
            <sz val="11"/>
            <color theme="1"/>
            <rFont val="Calibri"/>
            <scheme val="minor"/>
          </rPr>
          <t>======
ID#AAAAoyWcDYk
Zahrotul Jannah    (2023-01-21 01:40:27)
CTU MUS</t>
        </r>
      </text>
    </comment>
    <comment ref="C30" authorId="0">
      <text>
        <r>
          <rPr>
            <sz val="11"/>
            <color theme="1"/>
            <rFont val="Calibri"/>
            <scheme val="minor"/>
          </rPr>
          <t>======
ID#AAAAoyWcDYo
Zahrotul Jannah    (2023-01-21 01:40:51)
CTU MUS</t>
        </r>
      </text>
    </comment>
    <comment ref="C31" authorId="0">
      <text>
        <r>
          <rPr>
            <sz val="11"/>
            <color theme="1"/>
            <rFont val="Calibri"/>
            <scheme val="minor"/>
          </rPr>
          <t>======
ID#AAAAoyWcDYw
Zahrotul Jannah    (2023-01-21 01:51:59)
Mobil dijual CTU ke AYM</t>
        </r>
      </text>
    </comment>
    <comment ref="C32" authorId="0">
      <text>
        <r>
          <rPr>
            <sz val="11"/>
            <color theme="1"/>
            <rFont val="Calibri"/>
            <scheme val="minor"/>
          </rPr>
          <t>======
ID#AAAAoyWcDY0
Zahrotul Jannah    (2023-01-21 01:52:25)
Mobil dijual CTU ke AYM</t>
        </r>
      </text>
    </comment>
    <comment ref="C33" authorId="0">
      <text>
        <r>
          <rPr>
            <sz val="11"/>
            <color theme="1"/>
            <rFont val="Calibri"/>
            <scheme val="minor"/>
          </rPr>
          <t>======
ID#AAAAoyWcDY4
Zahrotul Jannah    (2023-01-21 01:52:47)
Mobil dijual CTU ke AYM</t>
        </r>
      </text>
    </comment>
    <comment ref="C34" authorId="0">
      <text>
        <r>
          <rPr>
            <sz val="11"/>
            <color theme="1"/>
            <rFont val="Calibri"/>
            <scheme val="minor"/>
          </rPr>
          <t>======
ID#AAAAoyWcDY8
Zahrotul Jannah    (2023-01-21 01:52:56)
Mobil dijual CTU ke AYM</t>
        </r>
      </text>
    </comment>
    <comment ref="C35" authorId="0">
      <text>
        <r>
          <rPr>
            <sz val="11"/>
            <color theme="1"/>
            <rFont val="Calibri"/>
            <scheme val="minor"/>
          </rPr>
          <t>======
ID#AAAAoyWcDYs
Zahrotul Jannah    (2023-01-21 01:44:02)
CTU MUS</t>
        </r>
      </text>
    </comment>
    <comment ref="C42" authorId="0">
      <text>
        <r>
          <rPr>
            <sz val="11"/>
            <color theme="1"/>
            <rFont val="Calibri"/>
            <scheme val="minor"/>
          </rPr>
          <t>======
ID#AAAAoyWcDZA
Zahrotul Jannah    (2023-01-21 01:53:06)
Mobil dijual CTU ke AYM</t>
        </r>
      </text>
    </comment>
    <comment ref="B60" authorId="0">
      <text>
        <r>
          <rPr>
            <sz val="11"/>
            <color theme="1"/>
            <rFont val="Calibri"/>
            <scheme val="minor"/>
          </rPr>
          <t>======
ID#AAAAnsvFgUU
Zahrotul Jannah    (2023-01-20 09:30:50)
Keperluan di dalam Farm hanya keluar untuk beli BBM - Jadi tidak dibalik nama</t>
        </r>
      </text>
    </comment>
  </commentList>
</comments>
</file>

<file path=xl/sharedStrings.xml><?xml version="1.0" encoding="utf-8"?>
<sst xmlns="http://schemas.openxmlformats.org/spreadsheetml/2006/main" count="1898" uniqueCount="860">
  <si>
    <t>No</t>
  </si>
  <si>
    <t>PT</t>
  </si>
  <si>
    <t>PT pemilik aset</t>
  </si>
  <si>
    <t>NAMA AKTIVA</t>
  </si>
  <si>
    <t>Nama sesuai asset PT</t>
  </si>
  <si>
    <t>Nama Aset baru</t>
  </si>
  <si>
    <t xml:space="preserve">MERK </t>
  </si>
  <si>
    <t>TYPE</t>
  </si>
  <si>
    <t>JENIS</t>
  </si>
  <si>
    <t>NO POLISI LAMA</t>
  </si>
  <si>
    <t>NO POLISI BARU</t>
  </si>
  <si>
    <t>TAHUN PEMAKAIAN</t>
  </si>
  <si>
    <t>USER LAMA</t>
  </si>
  <si>
    <t>USER BARU</t>
  </si>
  <si>
    <t>Status</t>
  </si>
  <si>
    <t>PT Pemakai</t>
  </si>
  <si>
    <t xml:space="preserve">Kondisi terkini </t>
  </si>
  <si>
    <t>Lokasi</t>
  </si>
  <si>
    <t>Tambahan Keterangan</t>
  </si>
  <si>
    <t>AGW</t>
  </si>
  <si>
    <t>AGW internal</t>
  </si>
  <si>
    <t>Mercy u/ Bp Soeyono</t>
  </si>
  <si>
    <t>Mecedes</t>
  </si>
  <si>
    <t>Soeyono</t>
  </si>
  <si>
    <t>Motor Suzuki A 100 X L 6515 DU</t>
  </si>
  <si>
    <t>Suzuki</t>
  </si>
  <si>
    <t>A 100</t>
  </si>
  <si>
    <t>L 3338 PS</t>
  </si>
  <si>
    <t>Sulaiman</t>
  </si>
  <si>
    <t>SUZUKI Realvan  L 1820 FM ( Carry )</t>
  </si>
  <si>
    <t>Realvan</t>
  </si>
  <si>
    <t>L 1023 BC</t>
  </si>
  <si>
    <t>Krian</t>
  </si>
  <si>
    <t>SUI</t>
  </si>
  <si>
    <t>Info dari team ACC belum dijual</t>
  </si>
  <si>
    <t>Yamaha Crypton</t>
  </si>
  <si>
    <t>Yamaha</t>
  </si>
  <si>
    <t>Crypton</t>
  </si>
  <si>
    <t>L 3728 NI</t>
  </si>
  <si>
    <t>Supri</t>
  </si>
  <si>
    <t>CTU</t>
  </si>
  <si>
    <t>masih ditanyakan oleh dodo</t>
  </si>
  <si>
    <t>di CTU farm 3</t>
  </si>
  <si>
    <t>BPKB ada di mbk juju</t>
  </si>
  <si>
    <t>AKY</t>
  </si>
  <si>
    <t>Fortuner 2.4 G A/T DSL</t>
  </si>
  <si>
    <t>TOYOTA</t>
  </si>
  <si>
    <t>Fortuner</t>
  </si>
  <si>
    <t>L 1395 NJ</t>
  </si>
  <si>
    <t>Tonny Arifin</t>
  </si>
  <si>
    <t>Honda NF11T11C01 MT (Revo Fit FI)</t>
  </si>
  <si>
    <t>Honda</t>
  </si>
  <si>
    <t>Revo</t>
  </si>
  <si>
    <t>L 3530 DY</t>
  </si>
  <si>
    <t>P Yusuf - SBY</t>
  </si>
  <si>
    <t>P Yusuf</t>
  </si>
  <si>
    <t>MNF</t>
  </si>
  <si>
    <t>ALPF</t>
  </si>
  <si>
    <t>??</t>
  </si>
  <si>
    <t>Mitsubishi Minibus L 300</t>
  </si>
  <si>
    <t>MITSUBISHI</t>
  </si>
  <si>
    <t>Pick Up</t>
  </si>
  <si>
    <t>R 8679 FB</t>
  </si>
  <si>
    <t>Cilacap</t>
  </si>
  <si>
    <t>AMBRO</t>
  </si>
  <si>
    <t>Mobilio 1.5 Manual 2018</t>
  </si>
  <si>
    <t>Mobilio</t>
  </si>
  <si>
    <t>L 1625 D</t>
  </si>
  <si>
    <t>Pak Sugito (Plant manager Ambro)</t>
  </si>
  <si>
    <t>Pabrik Ambrosia</t>
  </si>
  <si>
    <t xml:space="preserve">Toyota Kijang Innova 2.4 V AT </t>
  </si>
  <si>
    <t>innova</t>
  </si>
  <si>
    <t>L 1369 CG</t>
  </si>
  <si>
    <t>Ambrosia : P Yudi</t>
  </si>
  <si>
    <t>P Yudi</t>
  </si>
  <si>
    <t>AYM</t>
  </si>
  <si>
    <t>Daihatsu Grandmax AC PS 1.5</t>
  </si>
  <si>
    <t>Daihatsu</t>
  </si>
  <si>
    <t>Grandmax</t>
  </si>
  <si>
    <t>H 1894 NV</t>
  </si>
  <si>
    <t>L 9470 CJ</t>
  </si>
  <si>
    <t>CTU : Uum (HRD)</t>
  </si>
  <si>
    <t>Operasional cabang</t>
  </si>
  <si>
    <t xml:space="preserve">Daihatsu Pick Up </t>
  </si>
  <si>
    <t>S 9301 WH</t>
  </si>
  <si>
    <t>L 8223 CB</t>
  </si>
  <si>
    <t>AYM Pasuruan : Kantor Pasuruan</t>
  </si>
  <si>
    <t>AYM Tuban : Kantor Tuban</t>
  </si>
  <si>
    <t>S 9302 WH</t>
  </si>
  <si>
    <t>L 9551 CA</t>
  </si>
  <si>
    <t>AYM : Madiun : P Nur Afandi - MUS Madiun</t>
  </si>
  <si>
    <t>AYM Kantor Madiun</t>
  </si>
  <si>
    <t>S 8606 WF</t>
  </si>
  <si>
    <t>L 9552 CA</t>
  </si>
  <si>
    <t>AYM Nganjuk : Kantor Nganjuk</t>
  </si>
  <si>
    <t>AYM Kediri : Kantor Kediri</t>
  </si>
  <si>
    <t>S 8716 WF</t>
  </si>
  <si>
    <t>L 9550 CA</t>
  </si>
  <si>
    <t>AYM Batu : Pak Adib</t>
  </si>
  <si>
    <t>Daihatsu Xenia Type X</t>
  </si>
  <si>
    <t>Xenia</t>
  </si>
  <si>
    <t>H 1398 EA</t>
  </si>
  <si>
    <t>L 1679 E</t>
  </si>
  <si>
    <t>AYM : Tuban</t>
  </si>
  <si>
    <t>Toyota Innova 2.4  G AT</t>
  </si>
  <si>
    <t>Innova</t>
  </si>
  <si>
    <t>L 1651 OC</t>
  </si>
  <si>
    <t>Ko Albert</t>
  </si>
  <si>
    <t>dedicated karyawan</t>
  </si>
  <si>
    <t>SIC</t>
  </si>
  <si>
    <t>Xpander 1.5L SPORT-L 4x2 A/T</t>
  </si>
  <si>
    <t>xpander</t>
  </si>
  <si>
    <t>L 1484 CT</t>
  </si>
  <si>
    <t>Mb Endah</t>
  </si>
  <si>
    <t>Mbk Endah</t>
  </si>
  <si>
    <t>BAROKAH</t>
  </si>
  <si>
    <t>SPC??</t>
  </si>
  <si>
    <t>Honda (Sepeda Motor)</t>
  </si>
  <si>
    <t>Motor</t>
  </si>
  <si>
    <t>L 6188 EJ</t>
  </si>
  <si>
    <t>L 2905 ET</t>
  </si>
  <si>
    <t>Suk2 Jiao Shu - Ketabang</t>
  </si>
  <si>
    <t xml:space="preserve">Suk2 Jiao Shu </t>
  </si>
  <si>
    <t>SATPAM ABADI</t>
  </si>
  <si>
    <t>tidak ada di daftar aset barokah tambak; beras ??</t>
  </si>
  <si>
    <t>Motor Vespa P150SE Strada</t>
  </si>
  <si>
    <t>Vespa</t>
  </si>
  <si>
    <t>L 2170 FZ</t>
  </si>
  <si>
    <t>BROMAX</t>
  </si>
  <si>
    <t>Bromax</t>
  </si>
  <si>
    <t>Daihatsu/S402RP PMRFJJ KJ</t>
  </si>
  <si>
    <t>Granmax</t>
  </si>
  <si>
    <t>L 9768 NO</t>
  </si>
  <si>
    <t>CTU : P Heri Yuana / Operasional sumur jalak Per April Beralih Ke CTU</t>
  </si>
  <si>
    <t>P Heri Yuana</t>
  </si>
  <si>
    <t>Tuban</t>
  </si>
  <si>
    <t>Digunakan Pak Heri (CTU Sumur Jalak)</t>
  </si>
  <si>
    <t>Grandmax Silver hitam (DP 28 Aug)</t>
  </si>
  <si>
    <t>S 8356 WG</t>
  </si>
  <si>
    <t>L 8922 CG</t>
  </si>
  <si>
    <t>Guyub Triyanto</t>
  </si>
  <si>
    <t>TOP</t>
  </si>
  <si>
    <t>Purbalingga</t>
  </si>
  <si>
    <t>Awal atas nama CTU dibeli Bromax Digunakan Pak Guyub (TOP)</t>
  </si>
  <si>
    <t>Toyota Rush</t>
  </si>
  <si>
    <t>Rush</t>
  </si>
  <si>
    <t>L 1918 FM</t>
  </si>
  <si>
    <t>TOP : P Wahono Unit Pati</t>
  </si>
  <si>
    <t>P Wahono</t>
  </si>
  <si>
    <t>Pati</t>
  </si>
  <si>
    <t>digunakan Pak Wahono (TOP)</t>
  </si>
  <si>
    <t>Budi Santoso</t>
  </si>
  <si>
    <t>tidak ada di spt</t>
  </si>
  <si>
    <t>Suzuki Pick up ST 100</t>
  </si>
  <si>
    <t>L 8068 ND</t>
  </si>
  <si>
    <t>L 9714 BC</t>
  </si>
  <si>
    <t>utk operasional krian-utk belanja</t>
  </si>
  <si>
    <t>Avanza 1.3 G</t>
  </si>
  <si>
    <t>AVANZA</t>
  </si>
  <si>
    <t>S 1610 XA</t>
  </si>
  <si>
    <t>Ce Astrid</t>
  </si>
  <si>
    <t>Terpakai</t>
  </si>
  <si>
    <t>HO Surabaya</t>
  </si>
  <si>
    <t>Daihatsu Grandmax 1.5 AC PS Silver Metalik</t>
  </si>
  <si>
    <t>S 9464 WH</t>
  </si>
  <si>
    <t>MNF - HO</t>
  </si>
  <si>
    <t>Operasional HO</t>
  </si>
  <si>
    <t>Daihatsu Granmax PU 1.5 AC PS 1.5</t>
  </si>
  <si>
    <t>S 8185 WJ</t>
  </si>
  <si>
    <t>AYM : Malang : P Mastolip</t>
  </si>
  <si>
    <t>P Mastolip</t>
  </si>
  <si>
    <t>S 8184 WJ</t>
  </si>
  <si>
    <t>AYM : Lamongan : P Bayu / P Ghofur</t>
  </si>
  <si>
    <t>AYM Lamongan - Pak Dian</t>
  </si>
  <si>
    <t>S 9485 WH</t>
  </si>
  <si>
    <t>Operasional CTU Farm 1 : UUM (HRD)</t>
  </si>
  <si>
    <t>CTU Kediri</t>
  </si>
  <si>
    <t>Operasional Farm Kediri</t>
  </si>
  <si>
    <t>Daihatsu Terios 1.5XMT F800RG-GMDFJ</t>
  </si>
  <si>
    <t>Terios</t>
  </si>
  <si>
    <t>S 1642 OE</t>
  </si>
  <si>
    <t>AYM : Pasuruan : P Iwan</t>
  </si>
  <si>
    <t>AYM Jombang- P Anwar</t>
  </si>
  <si>
    <t>Grandmax PI 1.5 hitam (DP 2 Augl)</t>
  </si>
  <si>
    <t>S 8250 WG</t>
  </si>
  <si>
    <t>L 9217 CF</t>
  </si>
  <si>
    <t>AYM Madiun - Pak Huda</t>
  </si>
  <si>
    <t>AYM Madiun : Pak Huda</t>
  </si>
  <si>
    <t>S 8251 WG</t>
  </si>
  <si>
    <t>L 9221 CC</t>
  </si>
  <si>
    <t>S 8355 WG</t>
  </si>
  <si>
    <t>L 9471 CJ</t>
  </si>
  <si>
    <t>AYM Jombang Kantor Jombang</t>
  </si>
  <si>
    <t>Grandmax Silver metalik (DP 28 Aug)</t>
  </si>
  <si>
    <t>S 8357 WG</t>
  </si>
  <si>
    <t>L 9219 CF</t>
  </si>
  <si>
    <t>AYM Blora : Kantor Blora</t>
  </si>
  <si>
    <t>Hatchery IMS</t>
  </si>
  <si>
    <t>IMS</t>
  </si>
  <si>
    <t>Innova G 2.4 Matic Diesel</t>
  </si>
  <si>
    <t>S 1928 OG</t>
  </si>
  <si>
    <t>AYM : P Dani</t>
  </si>
  <si>
    <t>P Dani</t>
  </si>
  <si>
    <t>Isuzu Pick Up Traga</t>
  </si>
  <si>
    <t>Isuzzu</t>
  </si>
  <si>
    <t>S 8925 WM</t>
  </si>
  <si>
    <t>CTU Tuban</t>
  </si>
  <si>
    <t>Kirim HE ke Hatchery</t>
  </si>
  <si>
    <t>Kijang Inova</t>
  </si>
  <si>
    <t>S 1214 YZ</t>
  </si>
  <si>
    <t>Pak Thomas</t>
  </si>
  <si>
    <t>Pak Thomas (IMS)</t>
  </si>
  <si>
    <t>IMS Semarang</t>
  </si>
  <si>
    <t>Mitsubishi Cold Diesel FE 74 S 4x2 MT</t>
  </si>
  <si>
    <t>S 8502 WM</t>
  </si>
  <si>
    <t>Mitsubishi FE74S kuning</t>
  </si>
  <si>
    <t>FE74S</t>
  </si>
  <si>
    <t>S 8722 WH</t>
  </si>
  <si>
    <t>S 8680 WM</t>
  </si>
  <si>
    <t>CTU : Breeding Kandangan UUM (HRD)</t>
  </si>
  <si>
    <t>S 8720 WH</t>
  </si>
  <si>
    <t>CTU (Hatchery) Semarang</t>
  </si>
  <si>
    <t>Kirim DOC</t>
  </si>
  <si>
    <t>Pajero Sport 2.4L Dakar Hitam</t>
  </si>
  <si>
    <t>Pajero</t>
  </si>
  <si>
    <t>S 1042 ZF</t>
  </si>
  <si>
    <t>Pak Haryono</t>
  </si>
  <si>
    <t>Ertiga Suzuki Magma Grey (DP 13 Aug)</t>
  </si>
  <si>
    <t>Ertiga</t>
  </si>
  <si>
    <t>S 1265 ZL</t>
  </si>
  <si>
    <t>L 1004 JK</t>
  </si>
  <si>
    <t>AYM Madiun : Pak Fandi</t>
  </si>
  <si>
    <t>AYM Madiun Pak Fandi</t>
  </si>
  <si>
    <t>Madiun</t>
  </si>
  <si>
    <t>Toyota Rush 1.5 S M/T</t>
  </si>
  <si>
    <t>S 1292 XC</t>
  </si>
  <si>
    <t>Pak Darmono Tuban</t>
  </si>
  <si>
    <t>dikembalikan ke SIC. infonya dipake sama TS sic - 6 Jan 23</t>
  </si>
  <si>
    <t>Eks VIP Group- Jateng) Mulyo Suprihatiningsih</t>
  </si>
  <si>
    <t>H 9087 TE</t>
  </si>
  <si>
    <t>Ary Supangat</t>
  </si>
  <si>
    <t>Eks VIP Group- Jateng) Sugiarto</t>
  </si>
  <si>
    <t>H 9396 CS</t>
  </si>
  <si>
    <t>TOP : Tri Susilo</t>
  </si>
  <si>
    <t>HO TOP</t>
  </si>
  <si>
    <t>mobil operasional TOP HO</t>
  </si>
  <si>
    <t>Eks VIP Group-Jateng) FAISAL ANNAS</t>
  </si>
  <si>
    <t>H 9081 TE</t>
  </si>
  <si>
    <t xml:space="preserve">HO k7 - Tri </t>
  </si>
  <si>
    <t xml:space="preserve">Tri </t>
  </si>
  <si>
    <t>Truk Sitaan SIC di take over IMS belum balik nama (Balik nama Menunggu Pembayaran Pajak)</t>
  </si>
  <si>
    <t>Eks VIP Group-Jateng) GUNAWAN AGUS YULIANTORO</t>
  </si>
  <si>
    <t>Inova</t>
  </si>
  <si>
    <t>K 8641 UH</t>
  </si>
  <si>
    <t>Pak Darmono</t>
  </si>
  <si>
    <t>tgl 6 januari 2023 di serah terimakan ke Pak Darmono</t>
  </si>
  <si>
    <t>Hairyanto - Ko IH</t>
  </si>
  <si>
    <t>Toyota Kijang - Warna Putih</t>
  </si>
  <si>
    <t>Kijang</t>
  </si>
  <si>
    <t>S 952 WC</t>
  </si>
  <si>
    <t>S 1435 ZK</t>
  </si>
  <si>
    <t>S 9129 UW</t>
  </si>
  <si>
    <t>Hariyono Tan - Ko IL</t>
  </si>
  <si>
    <t>OP</t>
  </si>
  <si>
    <t>Mobil Daihatsu Taft GT</t>
  </si>
  <si>
    <t>Taft</t>
  </si>
  <si>
    <t>L 1102 RN</t>
  </si>
  <si>
    <t>Papa Ko Wm (Untung Suropati 2)</t>
  </si>
  <si>
    <t>Internal SUI</t>
  </si>
  <si>
    <t>AGRI</t>
  </si>
  <si>
    <t>1 Sepeda Motor Suzuki A100</t>
  </si>
  <si>
    <t>L 3361 SU</t>
  </si>
  <si>
    <t>Trosobo Satpam Abadi</t>
  </si>
  <si>
    <t>Satpam Abadi</t>
  </si>
  <si>
    <t>Honda Revo C/W Merah</t>
  </si>
  <si>
    <t>L 3166 LI</t>
  </si>
  <si>
    <t>L 4584 F</t>
  </si>
  <si>
    <t>Tanya Ko Wedy</t>
  </si>
  <si>
    <t>Pak Redjo</t>
  </si>
  <si>
    <t xml:space="preserve">Mobil CRV </t>
  </si>
  <si>
    <t>CRV</t>
  </si>
  <si>
    <t>L 1977 N</t>
  </si>
  <si>
    <t>L 1370 NZ</t>
  </si>
  <si>
    <t>Hartono - ko IS</t>
  </si>
  <si>
    <t>Dipilih KO IS</t>
  </si>
  <si>
    <t xml:space="preserve">Mobil Toyota Kijang Innova </t>
  </si>
  <si>
    <t>S 1217 WB</t>
  </si>
  <si>
    <t>Mobil Toyota Kijang Innova  - Hitam</t>
  </si>
  <si>
    <t>L 1205 NE</t>
  </si>
  <si>
    <t>L 1304 CL</t>
  </si>
  <si>
    <t>Hariyono Tan - ko IL</t>
  </si>
  <si>
    <t>Dipilih Ko IL</t>
  </si>
  <si>
    <t xml:space="preserve">Sepeda Motor </t>
  </si>
  <si>
    <t>L 4231 AT</t>
  </si>
  <si>
    <t>L 6434 IL</t>
  </si>
  <si>
    <t xml:space="preserve">Posisi SPC </t>
  </si>
  <si>
    <t>Sepeda Motor Yamaha</t>
  </si>
  <si>
    <t>L 3285 ND</t>
  </si>
  <si>
    <t xml:space="preserve"> Hariyono Tan - Ko IL</t>
  </si>
  <si>
    <t>Posisi Krian</t>
  </si>
  <si>
    <t>Internal SUI ( A/N Hariadi)</t>
  </si>
  <si>
    <t>L 1098 SZ</t>
  </si>
  <si>
    <t>L 1895 QA</t>
  </si>
  <si>
    <t xml:space="preserve">P Ali - Operasional PDD </t>
  </si>
  <si>
    <t>P Ali</t>
  </si>
  <si>
    <t>Operasional HO - sold</t>
  </si>
  <si>
    <t>Biaya dibebankan PT SUI langsung (Ex Ko WM)</t>
  </si>
  <si>
    <t>Oei (NG) Hauw Kie</t>
  </si>
  <si>
    <t>daihatsu F601RV - GMDFJJ</t>
  </si>
  <si>
    <t>F601RV</t>
  </si>
  <si>
    <t>L 1628 PG</t>
  </si>
  <si>
    <t>P Tumaji (CTU) - Tidak dibalik Nama</t>
  </si>
  <si>
    <t>Daihatsu Pick Up Abu-abu</t>
  </si>
  <si>
    <t>H 1850 LQ</t>
  </si>
  <si>
    <t>CTU : Kandangan</t>
  </si>
  <si>
    <t>PT Ambrosia Pangan Lestari</t>
  </si>
  <si>
    <t>double</t>
  </si>
  <si>
    <t>PT Tunas Althea Sejati</t>
  </si>
  <si>
    <t>Innova 2.4 AT</t>
  </si>
  <si>
    <t>L 1192 WO</t>
  </si>
  <si>
    <t>New Xpander Exceed CVT</t>
  </si>
  <si>
    <t>Xpander</t>
  </si>
  <si>
    <t>L 1388 ACA</t>
  </si>
  <si>
    <t>Dipakai Operasional CPS</t>
  </si>
  <si>
    <t>Toyota Corola Cross Type 1,8 HV Hitam</t>
  </si>
  <si>
    <t>Corola</t>
  </si>
  <si>
    <t>Cece Wewe</t>
  </si>
  <si>
    <t>Ce wewe</t>
  </si>
  <si>
    <t>SAN</t>
  </si>
  <si>
    <t>Grand New Avanza G A/T 1.3 L 1063 AZ / Toyota Avanza</t>
  </si>
  <si>
    <t>Avanza</t>
  </si>
  <si>
    <t>L 1063 AZ</t>
  </si>
  <si>
    <t xml:space="preserve">SIC </t>
  </si>
  <si>
    <t xml:space="preserve"> SIC</t>
  </si>
  <si>
    <t>Jawa Barat</t>
  </si>
  <si>
    <t>(ex ce monika), user SIC= Pak Gama</t>
  </si>
  <si>
    <t>Honda CR-V 2.0 A/T L 1887 DX</t>
  </si>
  <si>
    <t>L 1887 DX</t>
  </si>
  <si>
    <t>L 1933 PL</t>
  </si>
  <si>
    <t xml:space="preserve">Ko Albert/Ce wewe </t>
  </si>
  <si>
    <t>Rumah Ko IL</t>
  </si>
  <si>
    <t>owner n fam</t>
  </si>
  <si>
    <t>Surabaya</t>
  </si>
  <si>
    <t>Dipakai Ce Wewe &amp; Beban IMS (ex Ce Diana)</t>
  </si>
  <si>
    <t>Honda GL-Max L 3890 OA</t>
  </si>
  <si>
    <t>GL-Max</t>
  </si>
  <si>
    <t>L 5263 JA</t>
  </si>
  <si>
    <t xml:space="preserve">Pak Hari </t>
  </si>
  <si>
    <t>Pak Hari</t>
  </si>
  <si>
    <t>(dl L 3890 OA)</t>
  </si>
  <si>
    <t>Innova 2.4 Diesel</t>
  </si>
  <si>
    <t>BK 1194 HX</t>
  </si>
  <si>
    <t xml:space="preserve">Operasional </t>
  </si>
  <si>
    <t>Operasional</t>
  </si>
  <si>
    <t>operasional cabang</t>
  </si>
  <si>
    <t>Medan</t>
  </si>
  <si>
    <t>Innova Diesel V A/T Lux Th 2018</t>
  </si>
  <si>
    <t>BK 1631 AAQ</t>
  </si>
  <si>
    <t>Minibus L-300</t>
  </si>
  <si>
    <t>BK 8057 DL</t>
  </si>
  <si>
    <t>Mitsubishi L 300 DIESEL 2019</t>
  </si>
  <si>
    <t>BK 8419 EP</t>
  </si>
  <si>
    <t>Motor Viar karya 300 N</t>
  </si>
  <si>
    <t>Viar</t>
  </si>
  <si>
    <t>BK 6526 AKB</t>
  </si>
  <si>
    <t>Nissan Grand Livina XV 1.5 M/T HR15975212B L 1893 FF</t>
  </si>
  <si>
    <t>Nissan</t>
  </si>
  <si>
    <t>Livina</t>
  </si>
  <si>
    <t>L 1893 FF</t>
  </si>
  <si>
    <t>Dipakai Operasional Pdd</t>
  </si>
  <si>
    <t>PDD</t>
  </si>
  <si>
    <t>operasional HO</t>
  </si>
  <si>
    <t xml:space="preserve">PDD </t>
  </si>
  <si>
    <t>Toyota Avanza G 1.5 DCX6526 L 1934 EE</t>
  </si>
  <si>
    <t>L 1934 EE</t>
  </si>
  <si>
    <t>Ko Adi</t>
  </si>
  <si>
    <t>Dwi Jo</t>
  </si>
  <si>
    <t>CTU Dwi Jo</t>
  </si>
  <si>
    <t>Toyota Kijang Innova BK 1780 JT</t>
  </si>
  <si>
    <t>BK 1780 JT</t>
  </si>
  <si>
    <t>Operasional - Medan</t>
  </si>
  <si>
    <t>SIAGA</t>
  </si>
  <si>
    <t>Fortuner 2.4 VRZ 4X2 A/T TRD Diesel</t>
  </si>
  <si>
    <t>L 1997 YE</t>
  </si>
  <si>
    <t>Ko Joko - Sumbawa</t>
  </si>
  <si>
    <t>Ko Joko</t>
  </si>
  <si>
    <t>KIJANG INNOVA L 1099 BG</t>
  </si>
  <si>
    <t>L 1099 BG</t>
  </si>
  <si>
    <t>Ko Joko Dompu</t>
  </si>
  <si>
    <t>Dompu</t>
  </si>
  <si>
    <t>MAZDA BIANTE  L 1729 AN</t>
  </si>
  <si>
    <t>MAZDA</t>
  </si>
  <si>
    <t>BIANTE</t>
  </si>
  <si>
    <t>L 1729 AN</t>
  </si>
  <si>
    <t>Sumbawa</t>
  </si>
  <si>
    <t>MITSUBISHI L300 TH 2009 P 9285 NI</t>
  </si>
  <si>
    <t>P 9285 NI</t>
  </si>
  <si>
    <t>Nissan Livina EL 1,5 4x2 MT TH 2019</t>
  </si>
  <si>
    <t>L 1868 AK</t>
  </si>
  <si>
    <t>Siany Setiawan</t>
  </si>
  <si>
    <t>Toyota Kijang Fortuner</t>
  </si>
  <si>
    <t>S 1862 UW</t>
  </si>
  <si>
    <t>Dipilih KO IH</t>
  </si>
  <si>
    <t xml:space="preserve">Avanza </t>
  </si>
  <si>
    <t>W 0608 XW</t>
  </si>
  <si>
    <t>Pak Bayu TS</t>
  </si>
  <si>
    <t>Camry 2.5G AT</t>
  </si>
  <si>
    <t>Carry</t>
  </si>
  <si>
    <t>W 1890 XM</t>
  </si>
  <si>
    <t>Rudy S D</t>
  </si>
  <si>
    <t>Daihatsu Terios</t>
  </si>
  <si>
    <t>W 1609 QT</t>
  </si>
  <si>
    <t>P Mujiono TS Sales</t>
  </si>
  <si>
    <t>Daihatsu Terios 1.5X</t>
  </si>
  <si>
    <t>W 1029 TQ</t>
  </si>
  <si>
    <t>P Gaza El Aqsa</t>
  </si>
  <si>
    <t>P Gaza El</t>
  </si>
  <si>
    <t>Fortuner VRZ AT</t>
  </si>
  <si>
    <t>W 1932 YL</t>
  </si>
  <si>
    <t>Ari Afriyanto, drh</t>
  </si>
  <si>
    <t>Ari Afriyanto</t>
  </si>
  <si>
    <t>honda / GL15021A07 MT</t>
  </si>
  <si>
    <t>GL15021A07</t>
  </si>
  <si>
    <t>W 6968 WR</t>
  </si>
  <si>
    <t>Honda / GL15021A07 MT</t>
  </si>
  <si>
    <t>W 5345 QH</t>
  </si>
  <si>
    <t>PPL Harsono</t>
  </si>
  <si>
    <t>honda / NF 11T11C01 MT</t>
  </si>
  <si>
    <t>NF</t>
  </si>
  <si>
    <t>W 2599 WQ</t>
  </si>
  <si>
    <t>Honda / NF11B2D1 MT</t>
  </si>
  <si>
    <t>NF11B2D1</t>
  </si>
  <si>
    <t>W 5630 ZV</t>
  </si>
  <si>
    <t>P Faris</t>
  </si>
  <si>
    <t>Honda / NF11T11C01 MT</t>
  </si>
  <si>
    <t>NF11T11C01</t>
  </si>
  <si>
    <t>W 2086 XZ</t>
  </si>
  <si>
    <t>Honda BRV 1.5 E CVT</t>
  </si>
  <si>
    <t>BRV</t>
  </si>
  <si>
    <t>W 1393 YI</t>
  </si>
  <si>
    <t>Edwin W</t>
  </si>
  <si>
    <t>W 1494 YH</t>
  </si>
  <si>
    <t>Vena Kristiyanti</t>
  </si>
  <si>
    <t>Honda CRV Prestige</t>
  </si>
  <si>
    <t>W 1968 YB</t>
  </si>
  <si>
    <t>W 1257 TL</t>
  </si>
  <si>
    <t>Lie Hariyono - ko wk</t>
  </si>
  <si>
    <t>Honda HRV 1.5 S CVT</t>
  </si>
  <si>
    <t>HRV</t>
  </si>
  <si>
    <t>W 1174 YA</t>
  </si>
  <si>
    <t>W 1556 WX</t>
  </si>
  <si>
    <t>Randy Dave Maslim</t>
  </si>
  <si>
    <t>Ganti Nopol W 1556 WX</t>
  </si>
  <si>
    <t>Isuzu Panther TBR54 F Turbo LS</t>
  </si>
  <si>
    <t>Panther</t>
  </si>
  <si>
    <t>H9371 AF</t>
  </si>
  <si>
    <t>W 1641 NG</t>
  </si>
  <si>
    <t>P nanjar</t>
  </si>
  <si>
    <t>H 9371 AF</t>
  </si>
  <si>
    <t>Kawasaki / LX150F</t>
  </si>
  <si>
    <t>Kawasaki</t>
  </si>
  <si>
    <t>LX150F</t>
  </si>
  <si>
    <t>W 4179 VL</t>
  </si>
  <si>
    <t>PPL Heri</t>
  </si>
  <si>
    <t>lexus RX 200 T</t>
  </si>
  <si>
    <t>Lexus</t>
  </si>
  <si>
    <t>RX 200 T</t>
  </si>
  <si>
    <t>W 1504 YN</t>
  </si>
  <si>
    <t>W 53 HK</t>
  </si>
  <si>
    <t>Pak Hoeki - S3</t>
  </si>
  <si>
    <t>Pak Hoeki</t>
  </si>
  <si>
    <t>S 1364 XD</t>
  </si>
  <si>
    <t>W 53 RH</t>
  </si>
  <si>
    <t>Pak Sindu -S3</t>
  </si>
  <si>
    <t>P Sindu</t>
  </si>
  <si>
    <t>Mazda CX 5 Elite</t>
  </si>
  <si>
    <t>CX</t>
  </si>
  <si>
    <t>W 1238 IL</t>
  </si>
  <si>
    <t>Mazda CX-9 A/T</t>
  </si>
  <si>
    <t>CX-9</t>
  </si>
  <si>
    <t>W 1255 IC</t>
  </si>
  <si>
    <t>P Rudy</t>
  </si>
  <si>
    <t>Mercedes Benz  E 300 (W213) AT</t>
  </si>
  <si>
    <t>Benz</t>
  </si>
  <si>
    <t>W 900 FH</t>
  </si>
  <si>
    <t>Lie Hariyono - Ko WK</t>
  </si>
  <si>
    <t>Mitsubishi Pajero Sport 2.4L Dakar 4X</t>
  </si>
  <si>
    <t>W 1722 RO</t>
  </si>
  <si>
    <t>P Hendri K</t>
  </si>
  <si>
    <t>New Avanza 1.5G MT</t>
  </si>
  <si>
    <t>W 1405 QF</t>
  </si>
  <si>
    <t>AYM : Lumajanng : P Peri</t>
  </si>
  <si>
    <t>Balik ke TS SIC</t>
  </si>
  <si>
    <t>W 1836 XM</t>
  </si>
  <si>
    <t>Pak Halim</t>
  </si>
  <si>
    <t>Nissan Livina</t>
  </si>
  <si>
    <t>W 0920 XS</t>
  </si>
  <si>
    <t>W 1603 ZC</t>
  </si>
  <si>
    <t>P.Sugiono</t>
  </si>
  <si>
    <t xml:space="preserve">Suzuki </t>
  </si>
  <si>
    <t>W 1088 XU</t>
  </si>
  <si>
    <t>Pak Suleman TS</t>
  </si>
  <si>
    <t>Suzuki Ertiga AVI414F DX MT</t>
  </si>
  <si>
    <t>W 1402 NR</t>
  </si>
  <si>
    <t>P Aji Darmawan</t>
  </si>
  <si>
    <t>Rokhman</t>
  </si>
  <si>
    <t>Tegal</t>
  </si>
  <si>
    <t>TOP Tegal</t>
  </si>
  <si>
    <t>Suzuki Ertiga AVI414F SDX</t>
  </si>
  <si>
    <t>W 1622 PE</t>
  </si>
  <si>
    <t>drh. Agus Dwianto</t>
  </si>
  <si>
    <t>Suzuki Ertiga GL MT</t>
  </si>
  <si>
    <t>W 1309 YL</t>
  </si>
  <si>
    <t>P.Adyt-makassar TS</t>
  </si>
  <si>
    <t>P Adyt</t>
  </si>
  <si>
    <t>Suzuki/ST150</t>
  </si>
  <si>
    <t>W 8293 ND</t>
  </si>
  <si>
    <t>SIC : kantor</t>
  </si>
  <si>
    <t>Toyota Avanza</t>
  </si>
  <si>
    <t>W 1837 XM</t>
  </si>
  <si>
    <t>W 1679 YK</t>
  </si>
  <si>
    <t>P Warsito</t>
  </si>
  <si>
    <t>Toyota Avanza  1,3 G MT</t>
  </si>
  <si>
    <t>W 1960 TO</t>
  </si>
  <si>
    <t xml:space="preserve">Ko Halim </t>
  </si>
  <si>
    <t xml:space="preserve">Toyota Fortuner VRZ 4 x 2 AT </t>
  </si>
  <si>
    <t>Toyota Kijang Innova 2.4 G AT</t>
  </si>
  <si>
    <t>W 1641 RT</t>
  </si>
  <si>
    <t xml:space="preserve">P Lukman Saputra ASM Jateng </t>
  </si>
  <si>
    <t>ST Ruwanto</t>
  </si>
  <si>
    <t>Kulon Progo</t>
  </si>
  <si>
    <t>TOP Kulonprogo (Eks Yonif)</t>
  </si>
  <si>
    <t>W 1643 RT</t>
  </si>
  <si>
    <t>P Fajar Dwi Yulianto</t>
  </si>
  <si>
    <t>Yamaha B3B AT (Mio S)</t>
  </si>
  <si>
    <t>Mio</t>
  </si>
  <si>
    <t>W 4604 QE</t>
  </si>
  <si>
    <t>P Choirul</t>
  </si>
  <si>
    <t>Sitaan PT SAN</t>
  </si>
  <si>
    <t>Toyota Innova V Dsl</t>
  </si>
  <si>
    <t>BE 2164 CQ</t>
  </si>
  <si>
    <t>Fong Asikin</t>
  </si>
  <si>
    <t>Soeyono Soegiantoro</t>
  </si>
  <si>
    <t>Sedan Accord</t>
  </si>
  <si>
    <t>Accord</t>
  </si>
  <si>
    <t>S 1390 WE</t>
  </si>
  <si>
    <t>posisi mobil di Untung Suropati</t>
  </si>
  <si>
    <t>Untung Suropati</t>
  </si>
  <si>
    <t>SPA</t>
  </si>
  <si>
    <t>Honda Freed L 238 WW / HONDA FREED GB3 1.5 E AT</t>
  </si>
  <si>
    <t>Freed</t>
  </si>
  <si>
    <t>L 238 WW</t>
  </si>
  <si>
    <t>L 1980 A</t>
  </si>
  <si>
    <t>Dipakai CPS (dibawa ke jakarta)</t>
  </si>
  <si>
    <t>CPS</t>
  </si>
  <si>
    <t>ce wewe</t>
  </si>
  <si>
    <t>Ce We We</t>
  </si>
  <si>
    <t>Di Bebankan Ce Wewe</t>
  </si>
  <si>
    <t>KIJANG INNOVA 2.4V (Dark Grey Mica)</t>
  </si>
  <si>
    <t>L 1420 KX</t>
  </si>
  <si>
    <t>Goro ( Ko tik)</t>
  </si>
  <si>
    <t>Ko Tik</t>
  </si>
  <si>
    <t>Dipakai</t>
  </si>
  <si>
    <t>Goro</t>
  </si>
  <si>
    <t>KIJANG INNOVA 2.4V (Super White II)</t>
  </si>
  <si>
    <t>L 1399 KX</t>
  </si>
  <si>
    <t>Goro (Ko Lukman)</t>
  </si>
  <si>
    <t>Ko Lukman</t>
  </si>
  <si>
    <t>Mercy E 500 AT- B678AB-PLAT Baru L55E / Mercedes Benz E class 500 AT</t>
  </si>
  <si>
    <t>L 1957 CW</t>
  </si>
  <si>
    <t>Mobil Peugeot New 3008 AT CBU</t>
  </si>
  <si>
    <t>Peugeot</t>
  </si>
  <si>
    <t>3008 AT</t>
  </si>
  <si>
    <t>L 1511 RI</t>
  </si>
  <si>
    <t>Hariadi - Ko WM</t>
  </si>
  <si>
    <t>Dipilih KO WM</t>
  </si>
  <si>
    <t>Sepedah Motor Honda Beat 110 CC</t>
  </si>
  <si>
    <t>Beat</t>
  </si>
  <si>
    <t>DM 2692 SI</t>
  </si>
  <si>
    <t>Anak2 mess</t>
  </si>
  <si>
    <t>Gorontalo</t>
  </si>
  <si>
    <t>Info dari team ACC</t>
  </si>
  <si>
    <t>Spd motor Honda NF100 Thn '98 (nopol L 3201 FL )</t>
  </si>
  <si>
    <t>motor</t>
  </si>
  <si>
    <t>L 6879 DV</t>
  </si>
  <si>
    <t>L 5396 OL</t>
  </si>
  <si>
    <t xml:space="preserve">Vendri </t>
  </si>
  <si>
    <t>Vendri</t>
  </si>
  <si>
    <t>Nganggur - ex vendri</t>
  </si>
  <si>
    <t>Toyota Avanza 1300 G (F601RM GMMFJJ)</t>
  </si>
  <si>
    <t xml:space="preserve">DM 1758 B </t>
  </si>
  <si>
    <t>DM 1680 BH</t>
  </si>
  <si>
    <t>Kantor</t>
  </si>
  <si>
    <t>TOYOTA Rush 1.5 G AT</t>
  </si>
  <si>
    <t>L 1488 BW</t>
  </si>
  <si>
    <t>Bu Nining</t>
  </si>
  <si>
    <t xml:space="preserve">Dipakai </t>
  </si>
  <si>
    <t>HO</t>
  </si>
  <si>
    <t>Bu ning</t>
  </si>
  <si>
    <t>SPC</t>
  </si>
  <si>
    <t xml:space="preserve">1 Chevrolet Pick Up </t>
  </si>
  <si>
    <t>Chevrolet</t>
  </si>
  <si>
    <t>W 9235 XD</t>
  </si>
  <si>
    <t>Balongbendo</t>
  </si>
  <si>
    <t>Operasional Gudang</t>
  </si>
  <si>
    <t>1 Sepeda Motor Honda CB 100</t>
  </si>
  <si>
    <t>CB</t>
  </si>
  <si>
    <t>W 2085 YR</t>
  </si>
  <si>
    <t>W 6971 VP</t>
  </si>
  <si>
    <t>Pajangan</t>
  </si>
  <si>
    <t>Buat Pajangan di Lobby</t>
  </si>
  <si>
    <t>W 2866 XI</t>
  </si>
  <si>
    <t>W 2945 UX</t>
  </si>
  <si>
    <t>1 Sepeda Motor Vespa P150X / P100X</t>
  </si>
  <si>
    <t>Sepeda</t>
  </si>
  <si>
    <t>W 3382 YR</t>
  </si>
  <si>
    <t>W 5417 XC</t>
  </si>
  <si>
    <t xml:space="preserve">Innova 2.4 G A/T Black / Innova G AT Diesel
</t>
  </si>
  <si>
    <t>W 1976 TU</t>
  </si>
  <si>
    <t>Ko IH - Suk Aven</t>
  </si>
  <si>
    <t>ST</t>
  </si>
  <si>
    <t>Ngoro</t>
  </si>
  <si>
    <t>Innova 2.4 G A/T Grey</t>
  </si>
  <si>
    <t>W 1223 TU</t>
  </si>
  <si>
    <t>Ce Monika</t>
  </si>
  <si>
    <t>Innova 2.4 V</t>
  </si>
  <si>
    <t>W 1699 WU</t>
  </si>
  <si>
    <t>P Budi - Papa Ko wm</t>
  </si>
  <si>
    <t>P Budi</t>
  </si>
  <si>
    <t>ko Kiauw-Suropati</t>
  </si>
  <si>
    <t xml:space="preserve">KIJANG INOVA E XS 41 DS / Innova E Diesel
</t>
  </si>
  <si>
    <t>W 1270 YA</t>
  </si>
  <si>
    <t>W 1531 OT</t>
  </si>
  <si>
    <t>TOP Smr-Agung Wibowo-ex Ramadhani-ex Suksmawan</t>
  </si>
  <si>
    <t>Bambang Sutrisno</t>
  </si>
  <si>
    <t>Jepara</t>
  </si>
  <si>
    <t>TOP Jepara</t>
  </si>
  <si>
    <t>Mercedes Benz GLC 200 AMG Line FL / Mercy SUV</t>
  </si>
  <si>
    <t>Mercedes</t>
  </si>
  <si>
    <t>W 1579 SS</t>
  </si>
  <si>
    <t>Dipilih Ko IS</t>
  </si>
  <si>
    <t>New Alphard 2,5 G A/T</t>
  </si>
  <si>
    <t>Alphard</t>
  </si>
  <si>
    <t>W 1238 ST</t>
  </si>
  <si>
    <t>Papa Ko IL</t>
  </si>
  <si>
    <t>Dipilih KO IL</t>
  </si>
  <si>
    <t>Sepeda Motor Honda Revo Spoke / Sepeda Motor Honda NF</t>
  </si>
  <si>
    <t>W 6513 ZW</t>
  </si>
  <si>
    <t>W 2839 OD</t>
  </si>
  <si>
    <t>Pak Angling</t>
  </si>
  <si>
    <t>Dipakai saat kerja bag penagihan</t>
  </si>
  <si>
    <t>Penagihan Krian ex Angling</t>
  </si>
  <si>
    <t>TOYOTA ALPHARD 2,4 L / Alphard S 2.4 L AT</t>
  </si>
  <si>
    <t>ALPHARD</t>
  </si>
  <si>
    <t>W 716 YL</t>
  </si>
  <si>
    <t xml:space="preserve">W 1238 HT </t>
  </si>
  <si>
    <t xml:space="preserve">TOYOTA AVANZA 1,5 Manual / Toyota New Avanza 1,5G MT
</t>
  </si>
  <si>
    <t>W 1105 YK</t>
  </si>
  <si>
    <t>W 1528 RO</t>
  </si>
  <si>
    <t xml:space="preserve">Krian </t>
  </si>
  <si>
    <t>Zainal</t>
  </si>
  <si>
    <t>Operasional Kantor</t>
  </si>
  <si>
    <t>Toyota Avanza Veloz</t>
  </si>
  <si>
    <t>W 1406 Y</t>
  </si>
  <si>
    <t>W 1292 ZY</t>
  </si>
  <si>
    <t xml:space="preserve">ko Adi </t>
  </si>
  <si>
    <t>(ex  ko Jun)</t>
  </si>
  <si>
    <t>TOYOTA KIJANG INNOVA G XR 42</t>
  </si>
  <si>
    <t>W 1630 XE</t>
  </si>
  <si>
    <t>W 1921 R</t>
  </si>
  <si>
    <t>Musi</t>
  </si>
  <si>
    <t>Toyota New Avanza 1,5G MT (W 1838 XM ganti plat jadi W1105 YK) - krian</t>
  </si>
  <si>
    <t>W 1838 XM</t>
  </si>
  <si>
    <t>Disewakan ke TOP</t>
  </si>
  <si>
    <t>operasional krian</t>
  </si>
  <si>
    <t>disewakan ke TOP-&gt; Balik ke Krian Agt 19 awal</t>
  </si>
  <si>
    <t>SS</t>
  </si>
  <si>
    <t>nissan terano</t>
  </si>
  <si>
    <t>terano</t>
  </si>
  <si>
    <t>S 622 WA</t>
  </si>
  <si>
    <t>Ce Siany</t>
  </si>
  <si>
    <t>ST INTERNAL</t>
  </si>
  <si>
    <t>1 UNIT Carry Pick Up W 7476 Z</t>
  </si>
  <si>
    <t>S 9538 WB</t>
  </si>
  <si>
    <t>Forklif Komatsu - Ngepeh (FD30JC-12)</t>
  </si>
  <si>
    <t>KOMATSU</t>
  </si>
  <si>
    <t>forklift</t>
  </si>
  <si>
    <t>tdk ada plat no</t>
  </si>
  <si>
    <t>Grandmax 1.3 DFF</t>
  </si>
  <si>
    <t>Angling</t>
  </si>
  <si>
    <t>Honda (harusnya sepeda motor scooter)</t>
  </si>
  <si>
    <t>L 6088 LD</t>
  </si>
  <si>
    <t>di Ketabang</t>
  </si>
  <si>
    <t>Ketabang</t>
  </si>
  <si>
    <t>Innova 2.4 G A/T</t>
  </si>
  <si>
    <t>S 1608 OH</t>
  </si>
  <si>
    <t>Ko Wedy</t>
  </si>
  <si>
    <t>PDD 17 surabaya</t>
  </si>
  <si>
    <t>L300</t>
  </si>
  <si>
    <t>S 8909 WD</t>
  </si>
  <si>
    <t xml:space="preserve">Lexus / RX200T Luxury  4x2 AT </t>
  </si>
  <si>
    <t>RX200T</t>
  </si>
  <si>
    <t>S 0003 TT</t>
  </si>
  <si>
    <t>S 1132 XO</t>
  </si>
  <si>
    <t>Pak Tirto Suidro - S3</t>
  </si>
  <si>
    <t>Pak Adrian</t>
  </si>
  <si>
    <t>S3</t>
  </si>
  <si>
    <t>Sold</t>
  </si>
  <si>
    <t>S 0003 FH</t>
  </si>
  <si>
    <t>Pak Fredy Hartono - S3</t>
  </si>
  <si>
    <t>Pak Rudy</t>
  </si>
  <si>
    <t>Sudah dibeli p rudi (stnk masih atas nama PT) Diganti Lewat SIC</t>
  </si>
  <si>
    <t>Mercedes -Benz GLE 450 4 Matic (V167) A/T</t>
  </si>
  <si>
    <t>S 1204 XN</t>
  </si>
  <si>
    <t>Mobil Mecedes Benz C200 CG 1 AT</t>
  </si>
  <si>
    <t>S 1453 WK</t>
  </si>
  <si>
    <t>Hartono - Ko Is</t>
  </si>
  <si>
    <t>Nissan Navara</t>
  </si>
  <si>
    <t>Navara</t>
  </si>
  <si>
    <t>S 8123 WI</t>
  </si>
  <si>
    <t>NISSAN XTRAIL 2,5 AT</t>
  </si>
  <si>
    <t>XTRAIL</t>
  </si>
  <si>
    <t>S 1335 YA</t>
  </si>
  <si>
    <t>S 1927 WT</t>
  </si>
  <si>
    <t>Peugeot New 5008 A/T</t>
  </si>
  <si>
    <t>S 1653 OJ</t>
  </si>
  <si>
    <t>Ce Diana</t>
  </si>
  <si>
    <t>Sepeda Motor Honda Vario Merah</t>
  </si>
  <si>
    <t>Vario</t>
  </si>
  <si>
    <t>S 2716 OBG</t>
  </si>
  <si>
    <t>Trosobo - Angling</t>
  </si>
  <si>
    <t>Tambahan Baru, STNK s/d 16-03-2026</t>
  </si>
  <si>
    <t>Trosobo</t>
  </si>
  <si>
    <t>Totoya Land Cruiser 200</t>
  </si>
  <si>
    <t>Land Cruiser</t>
  </si>
  <si>
    <t>S 168 ST</t>
  </si>
  <si>
    <t>Hairyanto - Ko IH . Info dr ce fan : mama ngoro yg pakai</t>
  </si>
  <si>
    <t xml:space="preserve">Hairyanto - Ko IH </t>
  </si>
  <si>
    <t xml:space="preserve">Daihatsu Granmax PU 1.5 AC PS </t>
  </si>
  <si>
    <t>W 8187 YB</t>
  </si>
  <si>
    <t>KRIAN - Johan/Sopir Rendra</t>
  </si>
  <si>
    <t>Johan</t>
  </si>
  <si>
    <t>untuk belanja &amp; Operasional Pabrik</t>
  </si>
  <si>
    <t>Honda Civic Estillo SR3</t>
  </si>
  <si>
    <t>Civic</t>
  </si>
  <si>
    <t>W 1617 WG</t>
  </si>
  <si>
    <t>Hariadi - Ko Wm</t>
  </si>
  <si>
    <t>Krian blum catat (tdk ada FC STNK)</t>
  </si>
  <si>
    <t>Tanya Ce Fanny : bisa beban ko WM atau papa US</t>
  </si>
  <si>
    <t>Innova 2,4 G A/T Dark Grey Metalic</t>
  </si>
  <si>
    <t>W 1102 TU</t>
  </si>
  <si>
    <t>Junaedy - Ko jun</t>
  </si>
  <si>
    <t>Ko Jun</t>
  </si>
  <si>
    <t>Innova Type V Diesel Matic Hitam</t>
  </si>
  <si>
    <t>W 1009 YL</t>
  </si>
  <si>
    <t>W 1248 SD</t>
  </si>
  <si>
    <t>Di Bebankan KO IS</t>
  </si>
  <si>
    <t>Innova Type V Diesel Matic Silver</t>
  </si>
  <si>
    <t>W 1915 YN</t>
  </si>
  <si>
    <t>W 1420 SF</t>
  </si>
  <si>
    <t>Trosobo - Davy</t>
  </si>
  <si>
    <t>Ko Davy</t>
  </si>
  <si>
    <t>Kijang Innova 2,4 V A/T / innova diesel AT Lux</t>
  </si>
  <si>
    <t>W 1519 YI</t>
  </si>
  <si>
    <t>W 1906 XV</t>
  </si>
  <si>
    <t>Papa mama ko WM</t>
  </si>
  <si>
    <t>Suropati</t>
  </si>
  <si>
    <t xml:space="preserve">Kijang Innova E XS 41 </t>
  </si>
  <si>
    <t>W 1849 YO</t>
  </si>
  <si>
    <t>W 1335 SM</t>
  </si>
  <si>
    <t xml:space="preserve">TOP-St Ruwanto </t>
  </si>
  <si>
    <t>M Fashola Jamil</t>
  </si>
  <si>
    <t>Kebumen</t>
  </si>
  <si>
    <t>TOP Kebumen (ex p. Hendri)</t>
  </si>
  <si>
    <t>Kijang Innova Type 2,0 G Matic Putih</t>
  </si>
  <si>
    <t>W 1283 ZF</t>
  </si>
  <si>
    <t>Krian : Ko Sany</t>
  </si>
  <si>
    <t>Ko Sany</t>
  </si>
  <si>
    <t>Mercedes Benz S350</t>
  </si>
  <si>
    <t>W 1927 XC</t>
  </si>
  <si>
    <t>W 1396 ZH</t>
  </si>
  <si>
    <t>Di Pilih KO WM</t>
  </si>
  <si>
    <t>Mitsubishi Pajero SPT 2.4L DKR-H 4X28AT</t>
  </si>
  <si>
    <t>W 1237 NY</t>
  </si>
  <si>
    <t>Dipilih KO WK</t>
  </si>
  <si>
    <t>Sepeda Motor Honda Beat AT</t>
  </si>
  <si>
    <t>W 5755 NBA</t>
  </si>
  <si>
    <t>Krian-Vendri (Tugas Pelabuhan/Penagihan)/Zainal (Tugas Penagihan) jika Vendri tdk masuk</t>
  </si>
  <si>
    <t>Tambahan Baru, STNK s/d 10-02-2026</t>
  </si>
  <si>
    <t>Toyota Innova 2.5 E 2.5 XS41 DS (Diesel)</t>
  </si>
  <si>
    <t>W 1352 XD</t>
  </si>
  <si>
    <t>W 1625 QH</t>
  </si>
  <si>
    <t>P.Ahmad (Operasional Sby)</t>
  </si>
  <si>
    <t>P Ahmad</t>
  </si>
  <si>
    <t>Tacik Liliek</t>
  </si>
  <si>
    <t>tidak ada di spt, apa tidak dobel dengan punya sic no 157?</t>
  </si>
  <si>
    <t>Merc Benz 300 E</t>
  </si>
  <si>
    <t>L 1307 TD</t>
  </si>
  <si>
    <t>L 1693 YJ</t>
  </si>
  <si>
    <t>Lie Hariyono (ko WK)</t>
  </si>
  <si>
    <t>Tanya ko WK 11 Apr 2017 : dipake papa atau mama</t>
  </si>
  <si>
    <t>Daihatsu Granmax PU 1.5 AC PS 1 ton PU</t>
  </si>
  <si>
    <t>L 9826 NN</t>
  </si>
  <si>
    <t>TOP : P Tri Margono Unit Kulon Progo</t>
  </si>
  <si>
    <t>P Tri Margono</t>
  </si>
  <si>
    <t>Kulonprogo</t>
  </si>
  <si>
    <t>L 9824 NN</t>
  </si>
  <si>
    <t>Bromax : P Robby Sambodo</t>
  </si>
  <si>
    <t>Alesa Taufiqurrohman</t>
  </si>
  <si>
    <t>Batang</t>
  </si>
  <si>
    <t>sebelumnya digunakan Pak Roby Bromax</t>
  </si>
  <si>
    <t>L 9385 NO</t>
  </si>
  <si>
    <t>TOP: P Nur Kholis / Operasional unit rembang Penanggung jawab : Suhendro Awitno</t>
  </si>
  <si>
    <t>P Nur Kholis</t>
  </si>
  <si>
    <t>Rembang</t>
  </si>
  <si>
    <t>L 9354 NO</t>
  </si>
  <si>
    <t>TOP : P Muhammad Arif / operasional unit Blora Penawanggung jawab: Dwi Puji Widodo</t>
  </si>
  <si>
    <t>Krismedi</t>
  </si>
  <si>
    <t>Wonosobo</t>
  </si>
  <si>
    <t>L 9353 NO</t>
  </si>
  <si>
    <t>Wahono</t>
  </si>
  <si>
    <t>Ma'ruf</t>
  </si>
  <si>
    <t>Kudus</t>
  </si>
  <si>
    <t>L 9386 NO</t>
  </si>
  <si>
    <t>TOP : P Bambang Sutrisno / operional unit Demak Penanggung jawab : Agus Suryanto</t>
  </si>
  <si>
    <t>Agus Suryanto</t>
  </si>
  <si>
    <t>Demak</t>
  </si>
  <si>
    <t>L 1706 PW</t>
  </si>
  <si>
    <t>Bromax : P Pulung Bustomi</t>
  </si>
  <si>
    <t>Hasan</t>
  </si>
  <si>
    <t>Semarang</t>
  </si>
  <si>
    <t>Plant SIC Semarang</t>
  </si>
  <si>
    <t>Suzuki GX MT Ertiga</t>
  </si>
  <si>
    <t>L 1072 PQ</t>
  </si>
  <si>
    <t>Adi (SIC)</t>
  </si>
  <si>
    <t>Syarif Hidayatullah</t>
  </si>
  <si>
    <t>Ambarawa</t>
  </si>
  <si>
    <t>sebelumnya digunakan Pak Adi (SIC)</t>
  </si>
  <si>
    <t>Toyota Calya 1.2 G MT</t>
  </si>
  <si>
    <t>Calya</t>
  </si>
  <si>
    <t>L 1421 PX</t>
  </si>
  <si>
    <t>TOP : P Much Hadi P Unit Magelang</t>
  </si>
  <si>
    <t>P Much Hadi</t>
  </si>
  <si>
    <t>Magelang</t>
  </si>
  <si>
    <t>Toyota Innova 2.4 G AT</t>
  </si>
  <si>
    <t>L 1436 PC</t>
  </si>
  <si>
    <t>TOP : P Tri Hermawan Jatmiko Unit Magelang</t>
  </si>
  <si>
    <t>P Tri Hermawan Jatmiko</t>
  </si>
  <si>
    <t>Avanza 1,3G MT</t>
  </si>
  <si>
    <t>L 1833 CF</t>
  </si>
  <si>
    <t>Ko Andrew (Ce Wewe)</t>
  </si>
  <si>
    <t>Daihatsu Pick Up S402RP PMRFJJ KJ</t>
  </si>
  <si>
    <t>S 8652 WH</t>
  </si>
  <si>
    <t>Pak Dodita Madiun</t>
  </si>
  <si>
    <t>Pak Dodita</t>
  </si>
  <si>
    <t>Belum Jelas</t>
  </si>
  <si>
    <t>Honda L 6069 LF (barokah)</t>
  </si>
  <si>
    <t>L</t>
  </si>
  <si>
    <t xml:space="preserve">L 6069 LF 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</si>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</sst>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2"/>
      <color rgb="FF00B0F0"/>
      <name val="Calibri"/>
    </font>
    <font>
      <sz val="12"/>
      <color rgb="FFFF0000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FF9999"/>
        <bgColor rgb="FFFF9999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0" borderId="0" xfId="0" applyFont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Kendaraan%20HO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ndaraan"/>
      <sheetName val="Master Mobil"/>
      <sheetName val="Master User"/>
      <sheetName val="Master PT"/>
      <sheetName val="Truk"/>
      <sheetName val="All Kend Dari Team ACC"/>
      <sheetName val="Mobil Dipake Owner N Fam"/>
      <sheetName val="Forklift &amp; Loader"/>
      <sheetName val="Sold"/>
      <sheetName val="Notes"/>
      <sheetName val="Bensin"/>
    </sheetNames>
    <definedNames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  <definedName name="kendaraan" sheetId="5"/>
    </definedNames>
    <sheetDataSet>
      <sheetData sheetId="0"/>
      <sheetData sheetId="1"/>
      <sheetData sheetId="2"/>
      <sheetData sheetId="3"/>
      <sheetData sheetId="4">
        <row r="19">
          <cell r="U19" t="str">
            <v>dibebankan pemakai</v>
          </cell>
        </row>
      </sheetData>
      <sheetData sheetId="5">
        <row r="12">
          <cell r="U12" t="str">
            <v>TERIOS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93"/>
  <sheetViews>
    <sheetView tabSelected="1" topLeftCell="A172" workbookViewId="0">
      <selection activeCell="B185" sqref="B185"/>
    </sheetView>
  </sheetViews>
  <sheetFormatPr defaultRowHeight="15" x14ac:dyDescent="0.25"/>
  <cols>
    <col min="1" max="1" width="4.42578125" bestFit="1" customWidth="1"/>
    <col min="2" max="2" width="52.28515625" bestFit="1" customWidth="1"/>
    <col min="3" max="3" width="56.85546875" bestFit="1" customWidth="1"/>
    <col min="4" max="4" width="72.28515625" bestFit="1" customWidth="1"/>
    <col min="5" max="5" width="22" bestFit="1" customWidth="1"/>
    <col min="6" max="6" width="16.85546875" bestFit="1" customWidth="1"/>
    <col min="7" max="7" width="11.85546875" bestFit="1" customWidth="1"/>
    <col min="8" max="8" width="12.7109375" bestFit="1" customWidth="1"/>
    <col min="9" max="9" width="6.28515625" bestFit="1" customWidth="1"/>
    <col min="10" max="10" width="17.5703125" bestFit="1" customWidth="1"/>
    <col min="11" max="11" width="17" bestFit="1" customWidth="1"/>
    <col min="12" max="12" width="21" bestFit="1" customWidth="1"/>
    <col min="13" max="13" width="88.42578125" bestFit="1" customWidth="1"/>
    <col min="14" max="14" width="33.28515625" bestFit="1" customWidth="1"/>
    <col min="15" max="15" width="22" bestFit="1" customWidth="1"/>
    <col min="16" max="17" width="12.28515625" bestFit="1" customWidth="1"/>
    <col min="18" max="18" width="37" bestFit="1" customWidth="1"/>
    <col min="19" max="19" width="17" bestFit="1" customWidth="1"/>
    <col min="20" max="20" width="90.140625" bestFit="1" customWidth="1"/>
  </cols>
  <sheetData>
    <row r="1" spans="1:20" ht="15.7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15</v>
      </c>
      <c r="R1" s="5" t="s">
        <v>16</v>
      </c>
      <c r="S1" s="5" t="s">
        <v>17</v>
      </c>
      <c r="T1" s="5" t="s">
        <v>18</v>
      </c>
    </row>
    <row r="2" spans="1:20" ht="15.75" x14ac:dyDescent="0.25">
      <c r="A2" s="6">
        <v>1</v>
      </c>
      <c r="B2" s="7" t="s">
        <v>19</v>
      </c>
      <c r="C2" s="8" t="s">
        <v>20</v>
      </c>
      <c r="D2" s="6" t="s">
        <v>21</v>
      </c>
      <c r="E2" s="6"/>
      <c r="F2" s="6"/>
      <c r="G2" s="6" t="s">
        <v>22</v>
      </c>
      <c r="H2" s="6" t="s">
        <v>23</v>
      </c>
      <c r="I2" s="6" t="str">
        <f>VLOOKUP(H2,'[1]All Kend Dari Team ACC'!kendaraan,2,FALSE)</f>
        <v>R4</v>
      </c>
      <c r="J2" s="6"/>
      <c r="K2" s="6"/>
      <c r="L2" s="6">
        <v>2004</v>
      </c>
      <c r="M2" s="6"/>
      <c r="N2" s="6"/>
      <c r="O2" s="6"/>
      <c r="P2" s="9"/>
      <c r="Q2" s="9"/>
      <c r="R2" s="6"/>
      <c r="S2" s="6"/>
      <c r="T2" s="6"/>
    </row>
    <row r="3" spans="1:20" ht="15.75" x14ac:dyDescent="0.25">
      <c r="A3" s="6">
        <v>2</v>
      </c>
      <c r="B3" s="6" t="s">
        <v>19</v>
      </c>
      <c r="C3" s="8" t="s">
        <v>19</v>
      </c>
      <c r="D3" s="6" t="s">
        <v>24</v>
      </c>
      <c r="E3" s="6"/>
      <c r="F3" s="6"/>
      <c r="G3" s="6" t="s">
        <v>25</v>
      </c>
      <c r="H3" s="6" t="s">
        <v>26</v>
      </c>
      <c r="I3" s="6" t="e">
        <f>VLOOKUP(H3,'[1]All Kend Dari Team ACC'!kendaraan,2,FALSE)</f>
        <v>#N/A</v>
      </c>
      <c r="J3" s="6" t="s">
        <v>27</v>
      </c>
      <c r="K3" s="6"/>
      <c r="L3" s="6">
        <v>1994</v>
      </c>
      <c r="M3" s="6" t="s">
        <v>28</v>
      </c>
      <c r="N3" s="6" t="s">
        <v>28</v>
      </c>
      <c r="O3" s="6"/>
      <c r="P3" s="9" t="s">
        <v>19</v>
      </c>
      <c r="Q3" s="9"/>
      <c r="R3" s="6"/>
      <c r="S3" s="6"/>
      <c r="T3" s="6"/>
    </row>
    <row r="4" spans="1:20" ht="15.75" x14ac:dyDescent="0.25">
      <c r="A4" s="6">
        <v>3</v>
      </c>
      <c r="B4" s="6" t="s">
        <v>19</v>
      </c>
      <c r="C4" s="8" t="s">
        <v>19</v>
      </c>
      <c r="D4" s="6" t="s">
        <v>29</v>
      </c>
      <c r="E4" s="6"/>
      <c r="F4" s="6"/>
      <c r="G4" s="6" t="s">
        <v>25</v>
      </c>
      <c r="H4" s="6" t="s">
        <v>30</v>
      </c>
      <c r="I4" s="6" t="str">
        <f>VLOOKUP(H4,'[1]All Kend Dari Team ACC'!kendaraan,2,FALSE)</f>
        <v>R4</v>
      </c>
      <c r="J4" s="6" t="s">
        <v>31</v>
      </c>
      <c r="K4" s="6"/>
      <c r="L4" s="6">
        <v>1996</v>
      </c>
      <c r="M4" s="6" t="s">
        <v>32</v>
      </c>
      <c r="N4" s="6" t="s">
        <v>32</v>
      </c>
      <c r="O4" s="6"/>
      <c r="P4" s="9" t="s">
        <v>33</v>
      </c>
      <c r="Q4" s="9"/>
      <c r="R4" s="6"/>
      <c r="S4" s="6"/>
      <c r="T4" s="6" t="s">
        <v>34</v>
      </c>
    </row>
    <row r="5" spans="1:20" ht="15.75" x14ac:dyDescent="0.25">
      <c r="A5" s="6">
        <v>4</v>
      </c>
      <c r="B5" s="6" t="s">
        <v>19</v>
      </c>
      <c r="C5" s="8" t="s">
        <v>19</v>
      </c>
      <c r="D5" s="6" t="s">
        <v>35</v>
      </c>
      <c r="E5" s="6"/>
      <c r="F5" s="6"/>
      <c r="G5" s="6" t="s">
        <v>36</v>
      </c>
      <c r="H5" s="6" t="s">
        <v>37</v>
      </c>
      <c r="I5" s="6" t="str">
        <f>VLOOKUP(H5,'[1]All Kend Dari Team ACC'!kendaraan,2,FALSE)</f>
        <v>R2</v>
      </c>
      <c r="J5" s="6" t="s">
        <v>38</v>
      </c>
      <c r="K5" s="6"/>
      <c r="L5" s="6"/>
      <c r="M5" s="6" t="s">
        <v>39</v>
      </c>
      <c r="N5" s="6" t="s">
        <v>39</v>
      </c>
      <c r="O5" s="6"/>
      <c r="P5" s="9" t="s">
        <v>40</v>
      </c>
      <c r="Q5" s="9"/>
      <c r="R5" s="6" t="s">
        <v>41</v>
      </c>
      <c r="S5" s="6" t="s">
        <v>42</v>
      </c>
      <c r="T5" s="6" t="s">
        <v>43</v>
      </c>
    </row>
    <row r="6" spans="1:20" ht="15.75" x14ac:dyDescent="0.25">
      <c r="A6" s="6">
        <v>5</v>
      </c>
      <c r="B6" s="6" t="s">
        <v>44</v>
      </c>
      <c r="C6" s="8" t="s">
        <v>44</v>
      </c>
      <c r="D6" s="6" t="s">
        <v>45</v>
      </c>
      <c r="E6" s="6"/>
      <c r="F6" s="6"/>
      <c r="G6" s="6" t="s">
        <v>46</v>
      </c>
      <c r="H6" s="6" t="s">
        <v>47</v>
      </c>
      <c r="I6" s="6" t="str">
        <f>VLOOKUP(H6,'[1]All Kend Dari Team ACC'!kendaraan,2,FALSE)</f>
        <v>R4</v>
      </c>
      <c r="J6" s="6" t="s">
        <v>48</v>
      </c>
      <c r="K6" s="6"/>
      <c r="L6" s="6"/>
      <c r="M6" s="6" t="s">
        <v>49</v>
      </c>
      <c r="N6" s="6" t="s">
        <v>49</v>
      </c>
      <c r="O6" s="6"/>
      <c r="P6" s="9" t="s">
        <v>44</v>
      </c>
      <c r="Q6" s="9"/>
      <c r="R6" s="6"/>
      <c r="S6" s="6"/>
      <c r="T6" s="6"/>
    </row>
    <row r="7" spans="1:20" ht="15.75" x14ac:dyDescent="0.25">
      <c r="A7" s="6">
        <v>6</v>
      </c>
      <c r="B7" s="6" t="s">
        <v>44</v>
      </c>
      <c r="C7" s="8" t="s">
        <v>44</v>
      </c>
      <c r="D7" s="6" t="s">
        <v>50</v>
      </c>
      <c r="E7" s="6"/>
      <c r="F7" s="6"/>
      <c r="G7" s="6" t="s">
        <v>51</v>
      </c>
      <c r="H7" s="6" t="s">
        <v>52</v>
      </c>
      <c r="I7" s="6" t="e">
        <f>VLOOKUP(H7,'[1]All Kend Dari Team ACC'!kendaraan,2,FALSE)</f>
        <v>#N/A</v>
      </c>
      <c r="J7" s="6" t="s">
        <v>53</v>
      </c>
      <c r="K7" s="6"/>
      <c r="L7" s="6"/>
      <c r="M7" s="6" t="s">
        <v>54</v>
      </c>
      <c r="N7" s="6" t="s">
        <v>55</v>
      </c>
      <c r="O7" s="6"/>
      <c r="P7" s="9" t="s">
        <v>56</v>
      </c>
      <c r="Q7" s="9"/>
      <c r="R7" s="6"/>
      <c r="S7" s="6"/>
      <c r="T7" s="6"/>
    </row>
    <row r="8" spans="1:20" ht="15.75" x14ac:dyDescent="0.25">
      <c r="A8" s="6">
        <v>7</v>
      </c>
      <c r="B8" s="7" t="s">
        <v>57</v>
      </c>
      <c r="C8" s="10" t="s">
        <v>58</v>
      </c>
      <c r="D8" s="6" t="s">
        <v>59</v>
      </c>
      <c r="E8" s="6"/>
      <c r="F8" s="6"/>
      <c r="G8" s="6" t="s">
        <v>60</v>
      </c>
      <c r="H8" s="6" t="s">
        <v>61</v>
      </c>
      <c r="I8" s="6" t="str">
        <f>VLOOKUP(H8,'[1]All Kend Dari Team ACC'!kendaraan,2,FALSE)</f>
        <v>R4</v>
      </c>
      <c r="J8" s="6" t="s">
        <v>62</v>
      </c>
      <c r="K8" s="6"/>
      <c r="L8" s="6"/>
      <c r="M8" s="6" t="s">
        <v>63</v>
      </c>
      <c r="N8" s="6" t="s">
        <v>63</v>
      </c>
      <c r="O8" s="6"/>
      <c r="P8" s="9"/>
      <c r="Q8" s="9"/>
      <c r="R8" s="6"/>
      <c r="S8" s="6"/>
      <c r="T8" s="6"/>
    </row>
    <row r="9" spans="1:20" ht="15.75" x14ac:dyDescent="0.25">
      <c r="A9" s="6">
        <v>8</v>
      </c>
      <c r="B9" s="6" t="s">
        <v>64</v>
      </c>
      <c r="C9" s="8" t="s">
        <v>64</v>
      </c>
      <c r="D9" s="6" t="s">
        <v>65</v>
      </c>
      <c r="E9" s="6"/>
      <c r="F9" s="6"/>
      <c r="G9" s="6" t="s">
        <v>51</v>
      </c>
      <c r="H9" s="6" t="s">
        <v>66</v>
      </c>
      <c r="I9" s="6" t="str">
        <f>VLOOKUP(H9,'[1]All Kend Dari Team ACC'!kendaraan,2,FALSE)</f>
        <v>R4</v>
      </c>
      <c r="J9" s="6" t="s">
        <v>67</v>
      </c>
      <c r="K9" s="6"/>
      <c r="L9" s="6"/>
      <c r="M9" s="6" t="s">
        <v>68</v>
      </c>
      <c r="N9" s="6" t="s">
        <v>68</v>
      </c>
      <c r="O9" s="6"/>
      <c r="P9" s="9" t="s">
        <v>64</v>
      </c>
      <c r="Q9" s="9" t="s">
        <v>64</v>
      </c>
      <c r="R9" s="6"/>
      <c r="S9" s="6"/>
      <c r="T9" s="6" t="s">
        <v>69</v>
      </c>
    </row>
    <row r="10" spans="1:20" ht="15.75" x14ac:dyDescent="0.25">
      <c r="A10" s="6">
        <v>9</v>
      </c>
      <c r="B10" s="6" t="s">
        <v>64</v>
      </c>
      <c r="C10" s="8" t="s">
        <v>64</v>
      </c>
      <c r="D10" s="6" t="s">
        <v>70</v>
      </c>
      <c r="E10" s="6"/>
      <c r="F10" s="6"/>
      <c r="G10" s="6" t="s">
        <v>46</v>
      </c>
      <c r="H10" s="6" t="s">
        <v>71</v>
      </c>
      <c r="I10" s="6" t="str">
        <f>VLOOKUP(H10,'[1]All Kend Dari Team ACC'!kendaraan,2,FALSE)</f>
        <v>R4</v>
      </c>
      <c r="J10" s="6" t="s">
        <v>72</v>
      </c>
      <c r="K10" s="6"/>
      <c r="L10" s="6"/>
      <c r="M10" s="6" t="s">
        <v>73</v>
      </c>
      <c r="N10" s="6" t="s">
        <v>74</v>
      </c>
      <c r="O10" s="6"/>
      <c r="P10" s="9" t="s">
        <v>64</v>
      </c>
      <c r="Q10" s="9" t="s">
        <v>64</v>
      </c>
      <c r="R10" s="6"/>
      <c r="S10" s="6"/>
      <c r="T10" s="6" t="s">
        <v>69</v>
      </c>
    </row>
    <row r="11" spans="1:20" ht="15.75" x14ac:dyDescent="0.25">
      <c r="A11" s="6">
        <v>10</v>
      </c>
      <c r="B11" s="6" t="s">
        <v>75</v>
      </c>
      <c r="C11" s="8" t="s">
        <v>75</v>
      </c>
      <c r="D11" s="6" t="s">
        <v>76</v>
      </c>
      <c r="E11" s="6"/>
      <c r="F11" s="6"/>
      <c r="G11" s="6" t="s">
        <v>77</v>
      </c>
      <c r="H11" s="6" t="s">
        <v>78</v>
      </c>
      <c r="I11" s="6" t="e">
        <f>VLOOKUP(H11,'[1]All Kend Dari Team ACC'!kendaraan,2,FALSE)</f>
        <v>#N/A</v>
      </c>
      <c r="J11" s="6" t="s">
        <v>79</v>
      </c>
      <c r="K11" s="6" t="s">
        <v>80</v>
      </c>
      <c r="L11" s="6"/>
      <c r="M11" s="6" t="s">
        <v>81</v>
      </c>
      <c r="N11" s="6" t="s">
        <v>40</v>
      </c>
      <c r="O11" s="6" t="s">
        <v>82</v>
      </c>
      <c r="P11" s="9" t="s">
        <v>40</v>
      </c>
      <c r="Q11" s="9"/>
      <c r="R11" s="6"/>
      <c r="S11" s="6"/>
      <c r="T11" s="6"/>
    </row>
    <row r="12" spans="1:20" ht="15.75" x14ac:dyDescent="0.25">
      <c r="A12" s="6">
        <v>11</v>
      </c>
      <c r="B12" s="6" t="s">
        <v>75</v>
      </c>
      <c r="C12" s="8" t="s">
        <v>75</v>
      </c>
      <c r="D12" s="6" t="s">
        <v>83</v>
      </c>
      <c r="E12" s="6"/>
      <c r="F12" s="6"/>
      <c r="G12" s="6" t="s">
        <v>77</v>
      </c>
      <c r="H12" s="6" t="s">
        <v>78</v>
      </c>
      <c r="I12" s="6" t="e">
        <f>VLOOKUP(H12,'[1]All Kend Dari Team ACC'!kendaraan,2,FALSE)</f>
        <v>#N/A</v>
      </c>
      <c r="J12" s="6" t="s">
        <v>84</v>
      </c>
      <c r="K12" s="6" t="s">
        <v>85</v>
      </c>
      <c r="L12" s="6"/>
      <c r="M12" s="6" t="s">
        <v>86</v>
      </c>
      <c r="N12" s="6" t="s">
        <v>87</v>
      </c>
      <c r="O12" s="6" t="s">
        <v>82</v>
      </c>
      <c r="P12" s="9" t="s">
        <v>75</v>
      </c>
      <c r="Q12" s="9"/>
      <c r="R12" s="6"/>
      <c r="S12" s="6"/>
      <c r="T12" s="6"/>
    </row>
    <row r="13" spans="1:20" ht="15.75" x14ac:dyDescent="0.25">
      <c r="A13" s="6">
        <v>12</v>
      </c>
      <c r="B13" s="6" t="s">
        <v>75</v>
      </c>
      <c r="C13" s="8" t="s">
        <v>75</v>
      </c>
      <c r="D13" s="6" t="s">
        <v>83</v>
      </c>
      <c r="E13" s="6"/>
      <c r="F13" s="6"/>
      <c r="G13" s="6" t="s">
        <v>77</v>
      </c>
      <c r="H13" s="6" t="s">
        <v>78</v>
      </c>
      <c r="I13" s="6" t="e">
        <f>VLOOKUP(H13,'[1]All Kend Dari Team ACC'!kendaraan,2,FALSE)</f>
        <v>#N/A</v>
      </c>
      <c r="J13" s="6" t="s">
        <v>88</v>
      </c>
      <c r="K13" s="6" t="s">
        <v>89</v>
      </c>
      <c r="L13" s="6"/>
      <c r="M13" s="6" t="s">
        <v>90</v>
      </c>
      <c r="N13" s="6" t="s">
        <v>91</v>
      </c>
      <c r="O13" s="6" t="s">
        <v>82</v>
      </c>
      <c r="P13" s="9" t="s">
        <v>75</v>
      </c>
      <c r="Q13" s="9"/>
      <c r="R13" s="6"/>
      <c r="S13" s="6"/>
      <c r="T13" s="6"/>
    </row>
    <row r="14" spans="1:20" ht="15.75" x14ac:dyDescent="0.25">
      <c r="A14" s="6">
        <v>13</v>
      </c>
      <c r="B14" s="6" t="s">
        <v>75</v>
      </c>
      <c r="C14" s="8" t="s">
        <v>75</v>
      </c>
      <c r="D14" s="6" t="s">
        <v>83</v>
      </c>
      <c r="E14" s="6"/>
      <c r="F14" s="6"/>
      <c r="G14" s="6" t="s">
        <v>77</v>
      </c>
      <c r="H14" s="6" t="s">
        <v>78</v>
      </c>
      <c r="I14" s="6" t="e">
        <f>VLOOKUP(H14,'[1]All Kend Dari Team ACC'!kendaraan,2,FALSE)</f>
        <v>#N/A</v>
      </c>
      <c r="J14" s="6" t="s">
        <v>92</v>
      </c>
      <c r="K14" s="6" t="s">
        <v>93</v>
      </c>
      <c r="L14" s="6"/>
      <c r="M14" s="6" t="s">
        <v>94</v>
      </c>
      <c r="N14" s="6" t="s">
        <v>95</v>
      </c>
      <c r="O14" s="6" t="s">
        <v>82</v>
      </c>
      <c r="P14" s="9" t="s">
        <v>75</v>
      </c>
      <c r="Q14" s="9"/>
      <c r="R14" s="6"/>
      <c r="S14" s="6"/>
      <c r="T14" s="6"/>
    </row>
    <row r="15" spans="1:20" ht="15.75" x14ac:dyDescent="0.25">
      <c r="A15" s="6">
        <v>14</v>
      </c>
      <c r="B15" s="6" t="s">
        <v>75</v>
      </c>
      <c r="C15" s="8" t="s">
        <v>75</v>
      </c>
      <c r="D15" s="6" t="s">
        <v>83</v>
      </c>
      <c r="E15" s="6"/>
      <c r="F15" s="6"/>
      <c r="G15" s="6" t="s">
        <v>77</v>
      </c>
      <c r="H15" s="6" t="s">
        <v>78</v>
      </c>
      <c r="I15" s="6" t="e">
        <f>VLOOKUP(H15,'[1]All Kend Dari Team ACC'!kendaraan,2,FALSE)</f>
        <v>#N/A</v>
      </c>
      <c r="J15" s="6" t="s">
        <v>96</v>
      </c>
      <c r="K15" s="6" t="s">
        <v>97</v>
      </c>
      <c r="L15" s="6"/>
      <c r="M15" s="6" t="s">
        <v>98</v>
      </c>
      <c r="N15" s="6" t="s">
        <v>98</v>
      </c>
      <c r="O15" s="6" t="s">
        <v>82</v>
      </c>
      <c r="P15" s="9" t="s">
        <v>75</v>
      </c>
      <c r="Q15" s="9"/>
      <c r="R15" s="6"/>
      <c r="S15" s="6"/>
      <c r="T15" s="6"/>
    </row>
    <row r="16" spans="1:20" ht="15.75" x14ac:dyDescent="0.25">
      <c r="A16" s="6">
        <v>15</v>
      </c>
      <c r="B16" s="6" t="s">
        <v>75</v>
      </c>
      <c r="C16" s="8" t="s">
        <v>75</v>
      </c>
      <c r="D16" s="6" t="s">
        <v>99</v>
      </c>
      <c r="E16" s="6"/>
      <c r="F16" s="6"/>
      <c r="G16" s="6" t="s">
        <v>77</v>
      </c>
      <c r="H16" s="6" t="s">
        <v>100</v>
      </c>
      <c r="I16" s="6" t="str">
        <f>VLOOKUP(H16,'[1]All Kend Dari Team ACC'!kendaraan,2,FALSE)</f>
        <v>R4</v>
      </c>
      <c r="J16" s="6" t="s">
        <v>101</v>
      </c>
      <c r="K16" s="6" t="s">
        <v>102</v>
      </c>
      <c r="L16" s="6"/>
      <c r="M16" s="6" t="s">
        <v>103</v>
      </c>
      <c r="N16" s="6" t="s">
        <v>103</v>
      </c>
      <c r="O16" s="6" t="s">
        <v>82</v>
      </c>
      <c r="P16" s="9" t="s">
        <v>75</v>
      </c>
      <c r="Q16" s="9"/>
      <c r="R16" s="6"/>
      <c r="S16" s="6"/>
      <c r="T16" s="6"/>
    </row>
    <row r="17" spans="1:20" ht="15.75" x14ac:dyDescent="0.25">
      <c r="A17" s="6">
        <v>16</v>
      </c>
      <c r="B17" s="6" t="s">
        <v>75</v>
      </c>
      <c r="C17" s="8" t="s">
        <v>75</v>
      </c>
      <c r="D17" s="6" t="s">
        <v>104</v>
      </c>
      <c r="E17" s="6"/>
      <c r="F17" s="6"/>
      <c r="G17" s="6" t="s">
        <v>46</v>
      </c>
      <c r="H17" s="6" t="s">
        <v>105</v>
      </c>
      <c r="I17" s="6" t="str">
        <f>VLOOKUP(H17,'[1]All Kend Dari Team ACC'!kendaraan,2,FALSE)</f>
        <v>R4</v>
      </c>
      <c r="J17" s="6" t="s">
        <v>106</v>
      </c>
      <c r="K17" s="6"/>
      <c r="L17" s="6"/>
      <c r="M17" s="6" t="s">
        <v>107</v>
      </c>
      <c r="N17" s="6" t="s">
        <v>107</v>
      </c>
      <c r="O17" s="6" t="s">
        <v>108</v>
      </c>
      <c r="P17" s="9" t="s">
        <v>109</v>
      </c>
      <c r="Q17" s="9"/>
      <c r="R17" s="6"/>
      <c r="S17" s="6"/>
      <c r="T17" s="6"/>
    </row>
    <row r="18" spans="1:20" ht="15.75" x14ac:dyDescent="0.25">
      <c r="A18" s="6">
        <v>17</v>
      </c>
      <c r="B18" s="6" t="s">
        <v>75</v>
      </c>
      <c r="C18" s="8" t="s">
        <v>75</v>
      </c>
      <c r="D18" s="6" t="s">
        <v>110</v>
      </c>
      <c r="E18" s="6"/>
      <c r="F18" s="6"/>
      <c r="G18" s="6" t="s">
        <v>60</v>
      </c>
      <c r="H18" s="6" t="s">
        <v>111</v>
      </c>
      <c r="I18" s="6" t="str">
        <f>VLOOKUP(H18,'[1]All Kend Dari Team ACC'!kendaraan,2,FALSE)</f>
        <v>R4</v>
      </c>
      <c r="J18" s="6" t="s">
        <v>112</v>
      </c>
      <c r="K18" s="6"/>
      <c r="L18" s="6"/>
      <c r="M18" s="6" t="s">
        <v>113</v>
      </c>
      <c r="N18" s="6" t="s">
        <v>114</v>
      </c>
      <c r="O18" s="6" t="s">
        <v>108</v>
      </c>
      <c r="P18" s="9" t="s">
        <v>75</v>
      </c>
      <c r="Q18" s="9"/>
      <c r="R18" s="6"/>
      <c r="S18" s="6"/>
      <c r="T18" s="6"/>
    </row>
    <row r="19" spans="1:20" ht="15.75" x14ac:dyDescent="0.25">
      <c r="A19" s="6">
        <v>18</v>
      </c>
      <c r="B19" s="6" t="s">
        <v>115</v>
      </c>
      <c r="C19" s="10" t="s">
        <v>116</v>
      </c>
      <c r="D19" s="6" t="s">
        <v>117</v>
      </c>
      <c r="E19" s="6"/>
      <c r="F19" s="6"/>
      <c r="G19" s="6" t="s">
        <v>51</v>
      </c>
      <c r="H19" s="6" t="s">
        <v>118</v>
      </c>
      <c r="I19" s="6" t="str">
        <f>VLOOKUP(H19,'[1]All Kend Dari Team ACC'!kendaraan,2,FALSE)</f>
        <v>R2</v>
      </c>
      <c r="J19" s="6" t="s">
        <v>119</v>
      </c>
      <c r="K19" s="6" t="s">
        <v>120</v>
      </c>
      <c r="L19" s="6"/>
      <c r="M19" s="6" t="s">
        <v>121</v>
      </c>
      <c r="N19" s="6" t="s">
        <v>122</v>
      </c>
      <c r="O19" s="6"/>
      <c r="P19" s="9"/>
      <c r="Q19" s="9"/>
      <c r="R19" s="6" t="s">
        <v>123</v>
      </c>
      <c r="S19" s="6"/>
      <c r="T19" s="6" t="s">
        <v>124</v>
      </c>
    </row>
    <row r="20" spans="1:20" ht="15.75" x14ac:dyDescent="0.25">
      <c r="A20" s="6">
        <v>19</v>
      </c>
      <c r="B20" s="6" t="s">
        <v>115</v>
      </c>
      <c r="C20" s="10" t="s">
        <v>116</v>
      </c>
      <c r="D20" s="6" t="s">
        <v>125</v>
      </c>
      <c r="E20" s="6"/>
      <c r="F20" s="6"/>
      <c r="G20" s="6" t="s">
        <v>126</v>
      </c>
      <c r="H20" s="6" t="s">
        <v>126</v>
      </c>
      <c r="I20" s="6" t="e">
        <f>VLOOKUP(H20,'[1]All Kend Dari Team ACC'!kendaraan,2,FALSE)</f>
        <v>#N/A</v>
      </c>
      <c r="J20" s="6" t="s">
        <v>127</v>
      </c>
      <c r="K20" s="6"/>
      <c r="L20" s="6"/>
      <c r="M20" s="6" t="s">
        <v>109</v>
      </c>
      <c r="N20" s="6" t="s">
        <v>109</v>
      </c>
      <c r="O20" s="6"/>
      <c r="P20" s="9"/>
      <c r="Q20" s="9"/>
      <c r="R20" s="6"/>
      <c r="S20" s="6"/>
      <c r="T20" s="6" t="s">
        <v>124</v>
      </c>
    </row>
    <row r="21" spans="1:20" ht="15.75" x14ac:dyDescent="0.25">
      <c r="A21" s="6">
        <v>20</v>
      </c>
      <c r="B21" s="6" t="s">
        <v>128</v>
      </c>
      <c r="C21" s="8" t="s">
        <v>129</v>
      </c>
      <c r="D21" s="6" t="s">
        <v>130</v>
      </c>
      <c r="E21" s="6"/>
      <c r="F21" s="6"/>
      <c r="G21" s="6" t="s">
        <v>77</v>
      </c>
      <c r="H21" s="6" t="s">
        <v>131</v>
      </c>
      <c r="I21" s="6" t="e">
        <f>VLOOKUP(H21,'[1]All Kend Dari Team ACC'!kendaraan,2,FALSE)</f>
        <v>#N/A</v>
      </c>
      <c r="J21" s="6" t="s">
        <v>132</v>
      </c>
      <c r="K21" s="6"/>
      <c r="L21" s="6"/>
      <c r="M21" s="6" t="s">
        <v>133</v>
      </c>
      <c r="N21" s="6" t="s">
        <v>134</v>
      </c>
      <c r="O21" s="6" t="s">
        <v>108</v>
      </c>
      <c r="P21" s="9" t="s">
        <v>40</v>
      </c>
      <c r="Q21" s="9" t="s">
        <v>40</v>
      </c>
      <c r="R21" s="6"/>
      <c r="S21" s="6" t="s">
        <v>135</v>
      </c>
      <c r="T21" s="6" t="s">
        <v>136</v>
      </c>
    </row>
    <row r="22" spans="1:20" ht="15.75" x14ac:dyDescent="0.25">
      <c r="A22" s="6">
        <v>21</v>
      </c>
      <c r="B22" s="6" t="s">
        <v>128</v>
      </c>
      <c r="C22" s="8" t="s">
        <v>129</v>
      </c>
      <c r="D22" s="6" t="s">
        <v>137</v>
      </c>
      <c r="E22" s="6"/>
      <c r="F22" s="6"/>
      <c r="G22" s="6" t="s">
        <v>77</v>
      </c>
      <c r="H22" s="6" t="s">
        <v>131</v>
      </c>
      <c r="I22" s="6" t="e">
        <f>VLOOKUP(H22,'[1]All Kend Dari Team ACC'!kendaraan,2,FALSE)</f>
        <v>#N/A</v>
      </c>
      <c r="J22" s="6" t="s">
        <v>138</v>
      </c>
      <c r="K22" s="6" t="s">
        <v>139</v>
      </c>
      <c r="L22" s="6"/>
      <c r="M22" s="6" t="s">
        <v>140</v>
      </c>
      <c r="N22" s="6" t="s">
        <v>140</v>
      </c>
      <c r="O22" s="6" t="s">
        <v>108</v>
      </c>
      <c r="P22" s="9" t="s">
        <v>141</v>
      </c>
      <c r="Q22" s="9" t="s">
        <v>141</v>
      </c>
      <c r="R22" s="6"/>
      <c r="S22" s="6" t="s">
        <v>142</v>
      </c>
      <c r="T22" s="6" t="s">
        <v>143</v>
      </c>
    </row>
    <row r="23" spans="1:20" ht="15.75" x14ac:dyDescent="0.25">
      <c r="A23" s="6">
        <v>22</v>
      </c>
      <c r="B23" s="6" t="s">
        <v>128</v>
      </c>
      <c r="C23" s="8" t="s">
        <v>129</v>
      </c>
      <c r="D23" s="6" t="s">
        <v>144</v>
      </c>
      <c r="E23" s="6"/>
      <c r="F23" s="6"/>
      <c r="G23" s="6" t="s">
        <v>46</v>
      </c>
      <c r="H23" s="6" t="s">
        <v>145</v>
      </c>
      <c r="I23" s="6" t="str">
        <f>VLOOKUP(H23,'[1]All Kend Dari Team ACC'!kendaraan,2,FALSE)</f>
        <v>R4</v>
      </c>
      <c r="J23" s="6" t="s">
        <v>146</v>
      </c>
      <c r="K23" s="6"/>
      <c r="L23" s="6"/>
      <c r="M23" s="6" t="s">
        <v>147</v>
      </c>
      <c r="N23" s="6" t="s">
        <v>148</v>
      </c>
      <c r="O23" s="6" t="s">
        <v>108</v>
      </c>
      <c r="P23" s="9" t="s">
        <v>141</v>
      </c>
      <c r="Q23" s="9" t="s">
        <v>141</v>
      </c>
      <c r="R23" s="6"/>
      <c r="S23" s="6" t="s">
        <v>149</v>
      </c>
      <c r="T23" s="6" t="s">
        <v>150</v>
      </c>
    </row>
    <row r="24" spans="1:20" ht="15.75" x14ac:dyDescent="0.25">
      <c r="A24" s="6">
        <v>23</v>
      </c>
      <c r="B24" s="7" t="s">
        <v>151</v>
      </c>
      <c r="C24" s="10" t="s">
        <v>152</v>
      </c>
      <c r="D24" s="6" t="s">
        <v>153</v>
      </c>
      <c r="E24" s="6"/>
      <c r="F24" s="6"/>
      <c r="G24" s="6" t="s">
        <v>25</v>
      </c>
      <c r="H24" s="6" t="s">
        <v>78</v>
      </c>
      <c r="I24" s="6" t="e">
        <f>VLOOKUP(H24,'[1]All Kend Dari Team ACC'!kendaraan,2,FALSE)</f>
        <v>#N/A</v>
      </c>
      <c r="J24" s="6" t="s">
        <v>154</v>
      </c>
      <c r="K24" s="6" t="s">
        <v>155</v>
      </c>
      <c r="L24" s="6"/>
      <c r="M24" s="6" t="s">
        <v>156</v>
      </c>
      <c r="N24" s="6"/>
      <c r="O24" s="6"/>
      <c r="P24" s="9" t="s">
        <v>33</v>
      </c>
      <c r="Q24" s="9"/>
      <c r="R24" s="6"/>
      <c r="S24" s="6"/>
      <c r="T24" s="6"/>
    </row>
    <row r="25" spans="1:20" ht="15.75" x14ac:dyDescent="0.25">
      <c r="A25" s="6">
        <v>24</v>
      </c>
      <c r="B25" s="6" t="s">
        <v>40</v>
      </c>
      <c r="C25" s="8" t="s">
        <v>40</v>
      </c>
      <c r="D25" s="6" t="s">
        <v>157</v>
      </c>
      <c r="E25" s="6"/>
      <c r="F25" s="6"/>
      <c r="G25" s="6" t="s">
        <v>46</v>
      </c>
      <c r="H25" s="6" t="s">
        <v>158</v>
      </c>
      <c r="I25" s="6" t="str">
        <f>VLOOKUP(H25,'[1]All Kend Dari Team ACC'!kendaraan,2,FALSE)</f>
        <v>R4</v>
      </c>
      <c r="J25" s="6" t="s">
        <v>159</v>
      </c>
      <c r="K25" s="6"/>
      <c r="L25" s="6">
        <v>2021</v>
      </c>
      <c r="M25" s="6" t="s">
        <v>160</v>
      </c>
      <c r="N25" s="6" t="s">
        <v>160</v>
      </c>
      <c r="O25" s="6" t="s">
        <v>108</v>
      </c>
      <c r="P25" s="9" t="s">
        <v>40</v>
      </c>
      <c r="Q25" s="9"/>
      <c r="R25" s="6" t="s">
        <v>161</v>
      </c>
      <c r="S25" s="6" t="s">
        <v>162</v>
      </c>
      <c r="T25" s="6"/>
    </row>
    <row r="26" spans="1:20" ht="15.75" x14ac:dyDescent="0.25">
      <c r="A26" s="6">
        <v>25</v>
      </c>
      <c r="B26" s="6" t="s">
        <v>40</v>
      </c>
      <c r="C26" s="8" t="s">
        <v>40</v>
      </c>
      <c r="D26" s="6" t="s">
        <v>163</v>
      </c>
      <c r="E26" s="6"/>
      <c r="F26" s="6"/>
      <c r="G26" s="6" t="s">
        <v>77</v>
      </c>
      <c r="H26" s="6" t="s">
        <v>78</v>
      </c>
      <c r="I26" s="6" t="e">
        <f>VLOOKUP(H26,'[1]All Kend Dari Team ACC'!kendaraan,2,FALSE)</f>
        <v>#N/A</v>
      </c>
      <c r="J26" s="6" t="s">
        <v>164</v>
      </c>
      <c r="K26" s="6"/>
      <c r="L26" s="6">
        <v>2017</v>
      </c>
      <c r="M26" s="6" t="s">
        <v>165</v>
      </c>
      <c r="N26" s="6" t="s">
        <v>56</v>
      </c>
      <c r="O26" s="6" t="s">
        <v>166</v>
      </c>
      <c r="P26" s="9" t="s">
        <v>56</v>
      </c>
      <c r="Q26" s="9"/>
      <c r="R26" s="6" t="s">
        <v>161</v>
      </c>
      <c r="S26" s="6" t="s">
        <v>162</v>
      </c>
      <c r="T26" s="6"/>
    </row>
    <row r="27" spans="1:20" ht="15.75" x14ac:dyDescent="0.25">
      <c r="A27" s="6">
        <v>26</v>
      </c>
      <c r="B27" s="6" t="s">
        <v>40</v>
      </c>
      <c r="C27" s="8" t="s">
        <v>40</v>
      </c>
      <c r="D27" s="6" t="s">
        <v>167</v>
      </c>
      <c r="E27" s="6"/>
      <c r="F27" s="6"/>
      <c r="G27" s="6" t="s">
        <v>77</v>
      </c>
      <c r="H27" s="6" t="s">
        <v>131</v>
      </c>
      <c r="I27" s="6" t="e">
        <f>VLOOKUP(H27,'[1]All Kend Dari Team ACC'!kendaraan,2,FALSE)</f>
        <v>#N/A</v>
      </c>
      <c r="J27" s="6" t="s">
        <v>168</v>
      </c>
      <c r="K27" s="6"/>
      <c r="L27" s="6"/>
      <c r="M27" s="6" t="s">
        <v>169</v>
      </c>
      <c r="N27" s="6" t="s">
        <v>170</v>
      </c>
      <c r="O27" s="6" t="s">
        <v>82</v>
      </c>
      <c r="P27" s="9" t="s">
        <v>75</v>
      </c>
      <c r="Q27" s="9"/>
      <c r="R27" s="6"/>
      <c r="S27" s="6"/>
      <c r="T27" s="6"/>
    </row>
    <row r="28" spans="1:20" ht="15.75" x14ac:dyDescent="0.25">
      <c r="A28" s="6">
        <v>27</v>
      </c>
      <c r="B28" s="6" t="s">
        <v>40</v>
      </c>
      <c r="C28" s="8" t="s">
        <v>40</v>
      </c>
      <c r="D28" s="6" t="s">
        <v>167</v>
      </c>
      <c r="E28" s="6"/>
      <c r="F28" s="6"/>
      <c r="G28" s="6" t="s">
        <v>77</v>
      </c>
      <c r="H28" s="6" t="s">
        <v>131</v>
      </c>
      <c r="I28" s="6" t="e">
        <f>VLOOKUP(H28,'[1]All Kend Dari Team ACC'!kendaraan,2,FALSE)</f>
        <v>#N/A</v>
      </c>
      <c r="J28" s="6" t="s">
        <v>171</v>
      </c>
      <c r="K28" s="6"/>
      <c r="L28" s="6"/>
      <c r="M28" s="6" t="s">
        <v>172</v>
      </c>
      <c r="N28" s="6" t="s">
        <v>173</v>
      </c>
      <c r="O28" s="6" t="s">
        <v>82</v>
      </c>
      <c r="P28" s="9" t="s">
        <v>75</v>
      </c>
      <c r="Q28" s="9"/>
      <c r="R28" s="6"/>
      <c r="S28" s="6"/>
      <c r="T28" s="6"/>
    </row>
    <row r="29" spans="1:20" ht="15.75" x14ac:dyDescent="0.25">
      <c r="A29" s="6">
        <v>28</v>
      </c>
      <c r="B29" s="6" t="s">
        <v>40</v>
      </c>
      <c r="C29" s="8" t="s">
        <v>40</v>
      </c>
      <c r="D29" s="6" t="s">
        <v>83</v>
      </c>
      <c r="E29" s="6"/>
      <c r="F29" s="6"/>
      <c r="G29" s="6" t="s">
        <v>77</v>
      </c>
      <c r="H29" s="6" t="s">
        <v>78</v>
      </c>
      <c r="I29" s="6" t="e">
        <f>VLOOKUP(H29,'[1]All Kend Dari Team ACC'!kendaraan,2,FALSE)</f>
        <v>#N/A</v>
      </c>
      <c r="J29" s="6" t="s">
        <v>174</v>
      </c>
      <c r="K29" s="6"/>
      <c r="L29" s="6">
        <v>2017</v>
      </c>
      <c r="M29" s="6" t="s">
        <v>175</v>
      </c>
      <c r="N29" s="6" t="s">
        <v>40</v>
      </c>
      <c r="O29" s="6" t="s">
        <v>82</v>
      </c>
      <c r="P29" s="9" t="s">
        <v>40</v>
      </c>
      <c r="Q29" s="9"/>
      <c r="R29" s="6" t="s">
        <v>161</v>
      </c>
      <c r="S29" s="6" t="s">
        <v>176</v>
      </c>
      <c r="T29" s="6" t="s">
        <v>177</v>
      </c>
    </row>
    <row r="30" spans="1:20" ht="15.75" x14ac:dyDescent="0.25">
      <c r="A30" s="6">
        <v>29</v>
      </c>
      <c r="B30" s="6" t="s">
        <v>40</v>
      </c>
      <c r="C30" s="8" t="s">
        <v>40</v>
      </c>
      <c r="D30" s="6" t="s">
        <v>178</v>
      </c>
      <c r="E30" s="6"/>
      <c r="F30" s="6"/>
      <c r="G30" s="6" t="s">
        <v>77</v>
      </c>
      <c r="H30" s="6" t="s">
        <v>179</v>
      </c>
      <c r="I30" s="6" t="str">
        <f>VLOOKUP(H30,'[1]All Kend Dari Team ACC'!kendaraan,2,FALSE)</f>
        <v>R4</v>
      </c>
      <c r="J30" s="6" t="s">
        <v>180</v>
      </c>
      <c r="K30" s="6"/>
      <c r="L30" s="6"/>
      <c r="M30" s="6" t="s">
        <v>181</v>
      </c>
      <c r="N30" s="6" t="s">
        <v>182</v>
      </c>
      <c r="O30" s="6" t="s">
        <v>108</v>
      </c>
      <c r="P30" s="9" t="s">
        <v>75</v>
      </c>
      <c r="Q30" s="9"/>
      <c r="R30" s="6"/>
      <c r="S30" s="6"/>
      <c r="T30" s="6"/>
    </row>
    <row r="31" spans="1:20" ht="15.75" x14ac:dyDescent="0.25">
      <c r="A31" s="6">
        <v>30</v>
      </c>
      <c r="B31" s="6" t="s">
        <v>40</v>
      </c>
      <c r="C31" s="8" t="s">
        <v>75</v>
      </c>
      <c r="D31" s="6" t="s">
        <v>183</v>
      </c>
      <c r="E31" s="6"/>
      <c r="F31" s="6"/>
      <c r="G31" s="6" t="s">
        <v>77</v>
      </c>
      <c r="H31" s="6" t="s">
        <v>131</v>
      </c>
      <c r="I31" s="6" t="e">
        <f>VLOOKUP(H31,'[1]All Kend Dari Team ACC'!kendaraan,2,FALSE)</f>
        <v>#N/A</v>
      </c>
      <c r="J31" s="6" t="s">
        <v>184</v>
      </c>
      <c r="K31" s="6" t="s">
        <v>185</v>
      </c>
      <c r="L31" s="6"/>
      <c r="M31" s="6" t="s">
        <v>186</v>
      </c>
      <c r="N31" s="6" t="s">
        <v>187</v>
      </c>
      <c r="O31" s="6" t="s">
        <v>108</v>
      </c>
      <c r="P31" s="9" t="s">
        <v>75</v>
      </c>
      <c r="Q31" s="9"/>
      <c r="R31" s="6"/>
      <c r="S31" s="6"/>
      <c r="T31" s="6"/>
    </row>
    <row r="32" spans="1:20" ht="15.75" x14ac:dyDescent="0.25">
      <c r="A32" s="6">
        <v>31</v>
      </c>
      <c r="B32" s="6" t="s">
        <v>40</v>
      </c>
      <c r="C32" s="8" t="s">
        <v>75</v>
      </c>
      <c r="D32" s="6" t="s">
        <v>183</v>
      </c>
      <c r="E32" s="6"/>
      <c r="F32" s="6"/>
      <c r="G32" s="6" t="s">
        <v>77</v>
      </c>
      <c r="H32" s="6" t="s">
        <v>131</v>
      </c>
      <c r="I32" s="6" t="e">
        <f>VLOOKUP(H32,'[1]All Kend Dari Team ACC'!kendaraan,2,FALSE)</f>
        <v>#N/A</v>
      </c>
      <c r="J32" s="6" t="s">
        <v>188</v>
      </c>
      <c r="K32" s="6" t="s">
        <v>189</v>
      </c>
      <c r="L32" s="6"/>
      <c r="M32" s="6" t="s">
        <v>40</v>
      </c>
      <c r="N32" s="6" t="s">
        <v>40</v>
      </c>
      <c r="O32" s="6" t="s">
        <v>82</v>
      </c>
      <c r="P32" s="9" t="s">
        <v>40</v>
      </c>
      <c r="Q32" s="9"/>
      <c r="R32" s="6"/>
      <c r="S32" s="6"/>
      <c r="T32" s="6"/>
    </row>
    <row r="33" spans="1:20" ht="15.75" x14ac:dyDescent="0.25">
      <c r="A33" s="6">
        <v>32</v>
      </c>
      <c r="B33" s="6" t="s">
        <v>40</v>
      </c>
      <c r="C33" s="8" t="s">
        <v>75</v>
      </c>
      <c r="D33" s="6" t="s">
        <v>137</v>
      </c>
      <c r="E33" s="6"/>
      <c r="F33" s="6"/>
      <c r="G33" s="6" t="s">
        <v>77</v>
      </c>
      <c r="H33" s="6" t="s">
        <v>131</v>
      </c>
      <c r="I33" s="6" t="e">
        <f>VLOOKUP(H33,'[1]All Kend Dari Team ACC'!kendaraan,2,FALSE)</f>
        <v>#N/A</v>
      </c>
      <c r="J33" s="6" t="s">
        <v>190</v>
      </c>
      <c r="K33" s="6" t="s">
        <v>191</v>
      </c>
      <c r="L33" s="6"/>
      <c r="M33" s="6" t="s">
        <v>192</v>
      </c>
      <c r="N33" s="6" t="s">
        <v>192</v>
      </c>
      <c r="O33" s="6" t="s">
        <v>82</v>
      </c>
      <c r="P33" s="9" t="s">
        <v>75</v>
      </c>
      <c r="Q33" s="9"/>
      <c r="R33" s="6"/>
      <c r="S33" s="6"/>
      <c r="T33" s="6"/>
    </row>
    <row r="34" spans="1:20" ht="15.75" x14ac:dyDescent="0.25">
      <c r="A34" s="6">
        <v>33</v>
      </c>
      <c r="B34" s="6" t="s">
        <v>40</v>
      </c>
      <c r="C34" s="8" t="s">
        <v>75</v>
      </c>
      <c r="D34" s="6" t="s">
        <v>193</v>
      </c>
      <c r="E34" s="6"/>
      <c r="F34" s="6"/>
      <c r="G34" s="6" t="s">
        <v>77</v>
      </c>
      <c r="H34" s="6" t="s">
        <v>131</v>
      </c>
      <c r="I34" s="6" t="e">
        <f>VLOOKUP(H34,'[1]All Kend Dari Team ACC'!kendaraan,2,FALSE)</f>
        <v>#N/A</v>
      </c>
      <c r="J34" s="6" t="s">
        <v>194</v>
      </c>
      <c r="K34" s="12" t="s">
        <v>195</v>
      </c>
      <c r="L34" s="6"/>
      <c r="M34" s="6" t="s">
        <v>196</v>
      </c>
      <c r="N34" s="6" t="s">
        <v>197</v>
      </c>
      <c r="O34" s="6" t="s">
        <v>82</v>
      </c>
      <c r="P34" s="9" t="s">
        <v>198</v>
      </c>
      <c r="Q34" s="9"/>
      <c r="R34" s="6"/>
      <c r="S34" s="6"/>
      <c r="T34" s="6"/>
    </row>
    <row r="35" spans="1:20" ht="15.75" x14ac:dyDescent="0.25">
      <c r="A35" s="6">
        <v>34</v>
      </c>
      <c r="B35" s="6" t="s">
        <v>40</v>
      </c>
      <c r="C35" s="8" t="s">
        <v>40</v>
      </c>
      <c r="D35" s="6" t="s">
        <v>199</v>
      </c>
      <c r="E35" s="6"/>
      <c r="F35" s="6"/>
      <c r="G35" s="6" t="s">
        <v>46</v>
      </c>
      <c r="H35" s="6" t="s">
        <v>71</v>
      </c>
      <c r="I35" s="6" t="str">
        <f>VLOOKUP(H35,'[1]All Kend Dari Team ACC'!kendaraan,2,FALSE)</f>
        <v>R4</v>
      </c>
      <c r="J35" s="6" t="s">
        <v>200</v>
      </c>
      <c r="K35" s="6"/>
      <c r="L35" s="6"/>
      <c r="M35" s="6" t="s">
        <v>201</v>
      </c>
      <c r="N35" s="6" t="s">
        <v>202</v>
      </c>
      <c r="O35" s="6" t="s">
        <v>108</v>
      </c>
      <c r="P35" s="9" t="s">
        <v>75</v>
      </c>
      <c r="Q35" s="9"/>
      <c r="R35" s="6"/>
      <c r="S35" s="6"/>
      <c r="T35" s="6"/>
    </row>
    <row r="36" spans="1:20" ht="15.75" x14ac:dyDescent="0.25">
      <c r="A36" s="6">
        <v>35</v>
      </c>
      <c r="B36" s="6" t="s">
        <v>40</v>
      </c>
      <c r="C36" s="8" t="s">
        <v>40</v>
      </c>
      <c r="D36" s="6" t="s">
        <v>203</v>
      </c>
      <c r="E36" s="6"/>
      <c r="F36" s="6"/>
      <c r="G36" s="6" t="s">
        <v>204</v>
      </c>
      <c r="H36" s="6" t="s">
        <v>78</v>
      </c>
      <c r="I36" s="6" t="e">
        <f>VLOOKUP(H36,'[1]All Kend Dari Team ACC'!kendaraan,2,FALSE)</f>
        <v>#N/A</v>
      </c>
      <c r="J36" s="6" t="s">
        <v>205</v>
      </c>
      <c r="K36" s="6"/>
      <c r="L36" s="6">
        <v>2022</v>
      </c>
      <c r="M36" s="6" t="s">
        <v>40</v>
      </c>
      <c r="N36" s="6" t="s">
        <v>40</v>
      </c>
      <c r="O36" s="6" t="s">
        <v>82</v>
      </c>
      <c r="P36" s="9" t="s">
        <v>40</v>
      </c>
      <c r="Q36" s="9"/>
      <c r="R36" s="6" t="s">
        <v>161</v>
      </c>
      <c r="S36" s="6" t="s">
        <v>206</v>
      </c>
      <c r="T36" s="6" t="s">
        <v>207</v>
      </c>
    </row>
    <row r="37" spans="1:20" ht="15.75" x14ac:dyDescent="0.25">
      <c r="A37" s="6">
        <v>36</v>
      </c>
      <c r="B37" s="6" t="s">
        <v>40</v>
      </c>
      <c r="C37" s="8" t="s">
        <v>40</v>
      </c>
      <c r="D37" s="6" t="s">
        <v>208</v>
      </c>
      <c r="E37" s="6"/>
      <c r="F37" s="6"/>
      <c r="G37" s="6" t="s">
        <v>46</v>
      </c>
      <c r="H37" s="6" t="s">
        <v>71</v>
      </c>
      <c r="I37" s="6" t="str">
        <f>VLOOKUP(H37,'[1]All Kend Dari Team ACC'!kendaraan,2,FALSE)</f>
        <v>R4</v>
      </c>
      <c r="J37" s="6" t="s">
        <v>209</v>
      </c>
      <c r="K37" s="6"/>
      <c r="L37" s="6">
        <v>2016</v>
      </c>
      <c r="M37" s="6" t="s">
        <v>210</v>
      </c>
      <c r="N37" s="6" t="s">
        <v>211</v>
      </c>
      <c r="O37" s="6" t="s">
        <v>108</v>
      </c>
      <c r="P37" s="9" t="s">
        <v>198</v>
      </c>
      <c r="Q37" s="9"/>
      <c r="R37" s="6" t="s">
        <v>161</v>
      </c>
      <c r="S37" s="6" t="s">
        <v>212</v>
      </c>
      <c r="T37" s="6"/>
    </row>
    <row r="38" spans="1:20" ht="15.75" x14ac:dyDescent="0.25">
      <c r="A38" s="6">
        <v>37</v>
      </c>
      <c r="B38" s="6" t="s">
        <v>40</v>
      </c>
      <c r="C38" s="8" t="s">
        <v>40</v>
      </c>
      <c r="D38" s="6" t="s">
        <v>213</v>
      </c>
      <c r="E38" s="6"/>
      <c r="F38" s="6"/>
      <c r="G38" s="6" t="s">
        <v>60</v>
      </c>
      <c r="H38" s="6" t="s">
        <v>61</v>
      </c>
      <c r="I38" s="6" t="str">
        <f>VLOOKUP(H38,'[1]All Kend Dari Team ACC'!kendaraan,2,FALSE)</f>
        <v>R4</v>
      </c>
      <c r="J38" s="6" t="s">
        <v>214</v>
      </c>
      <c r="K38" s="6"/>
      <c r="L38" s="6">
        <v>2021</v>
      </c>
      <c r="M38" s="6" t="s">
        <v>40</v>
      </c>
      <c r="N38" s="6" t="s">
        <v>40</v>
      </c>
      <c r="O38" s="6" t="s">
        <v>82</v>
      </c>
      <c r="P38" s="9" t="s">
        <v>40</v>
      </c>
      <c r="Q38" s="9"/>
      <c r="R38" s="6" t="s">
        <v>161</v>
      </c>
      <c r="S38" s="6" t="s">
        <v>176</v>
      </c>
      <c r="T38" s="6" t="s">
        <v>207</v>
      </c>
    </row>
    <row r="39" spans="1:20" ht="15.75" x14ac:dyDescent="0.25">
      <c r="A39" s="6">
        <v>38</v>
      </c>
      <c r="B39" s="6" t="s">
        <v>40</v>
      </c>
      <c r="C39" s="8" t="s">
        <v>40</v>
      </c>
      <c r="D39" s="6" t="s">
        <v>215</v>
      </c>
      <c r="E39" s="6"/>
      <c r="F39" s="6"/>
      <c r="G39" s="6" t="s">
        <v>60</v>
      </c>
      <c r="H39" s="6" t="s">
        <v>216</v>
      </c>
      <c r="I39" s="6" t="str">
        <f>VLOOKUP(H39,'[1]All Kend Dari Team ACC'!kendaraan,2,FALSE)</f>
        <v>R4</v>
      </c>
      <c r="J39" s="6" t="s">
        <v>217</v>
      </c>
      <c r="K39" s="6" t="s">
        <v>218</v>
      </c>
      <c r="L39" s="6">
        <v>2017</v>
      </c>
      <c r="M39" s="6" t="s">
        <v>219</v>
      </c>
      <c r="N39" s="6" t="s">
        <v>40</v>
      </c>
      <c r="O39" s="6" t="s">
        <v>82</v>
      </c>
      <c r="P39" s="9" t="s">
        <v>40</v>
      </c>
      <c r="Q39" s="9"/>
      <c r="R39" s="6" t="s">
        <v>161</v>
      </c>
      <c r="S39" s="6" t="s">
        <v>176</v>
      </c>
      <c r="T39" s="6" t="s">
        <v>207</v>
      </c>
    </row>
    <row r="40" spans="1:20" ht="15.75" x14ac:dyDescent="0.25">
      <c r="A40" s="6">
        <v>39</v>
      </c>
      <c r="B40" s="6" t="s">
        <v>40</v>
      </c>
      <c r="C40" s="8" t="s">
        <v>40</v>
      </c>
      <c r="D40" s="6" t="s">
        <v>215</v>
      </c>
      <c r="E40" s="6"/>
      <c r="F40" s="6"/>
      <c r="G40" s="6" t="s">
        <v>60</v>
      </c>
      <c r="H40" s="6" t="s">
        <v>216</v>
      </c>
      <c r="I40" s="6" t="str">
        <f>VLOOKUP(H40,'[1]All Kend Dari Team ACC'!kendaraan,2,FALSE)</f>
        <v>R4</v>
      </c>
      <c r="J40" s="6" t="s">
        <v>220</v>
      </c>
      <c r="K40" s="6"/>
      <c r="L40" s="6">
        <v>2017</v>
      </c>
      <c r="M40" s="6" t="s">
        <v>221</v>
      </c>
      <c r="N40" s="6" t="s">
        <v>40</v>
      </c>
      <c r="O40" s="6" t="s">
        <v>82</v>
      </c>
      <c r="P40" s="9" t="s">
        <v>40</v>
      </c>
      <c r="Q40" s="9"/>
      <c r="R40" s="6" t="s">
        <v>161</v>
      </c>
      <c r="S40" s="6" t="s">
        <v>212</v>
      </c>
      <c r="T40" s="6" t="s">
        <v>222</v>
      </c>
    </row>
    <row r="41" spans="1:20" ht="15.75" x14ac:dyDescent="0.25">
      <c r="A41" s="6">
        <v>40</v>
      </c>
      <c r="B41" s="6" t="s">
        <v>40</v>
      </c>
      <c r="C41" s="8" t="s">
        <v>40</v>
      </c>
      <c r="D41" s="6" t="s">
        <v>223</v>
      </c>
      <c r="E41" s="6"/>
      <c r="F41" s="6"/>
      <c r="G41" s="6" t="s">
        <v>60</v>
      </c>
      <c r="H41" s="6" t="s">
        <v>224</v>
      </c>
      <c r="I41" s="6" t="str">
        <f>VLOOKUP(H41,'[1]All Kend Dari Team ACC'!kendaraan,2,FALSE)</f>
        <v>R4</v>
      </c>
      <c r="J41" s="6" t="s">
        <v>225</v>
      </c>
      <c r="K41" s="6"/>
      <c r="L41" s="6">
        <v>2017</v>
      </c>
      <c r="M41" s="6" t="s">
        <v>226</v>
      </c>
      <c r="N41" s="6" t="s">
        <v>226</v>
      </c>
      <c r="O41" s="6" t="s">
        <v>108</v>
      </c>
      <c r="P41" s="9" t="s">
        <v>40</v>
      </c>
      <c r="Q41" s="9"/>
      <c r="R41" s="6" t="s">
        <v>161</v>
      </c>
      <c r="S41" s="6" t="s">
        <v>176</v>
      </c>
      <c r="T41" s="6"/>
    </row>
    <row r="42" spans="1:20" ht="15.75" x14ac:dyDescent="0.25">
      <c r="A42" s="6">
        <v>41</v>
      </c>
      <c r="B42" s="6" t="s">
        <v>40</v>
      </c>
      <c r="C42" s="8" t="s">
        <v>75</v>
      </c>
      <c r="D42" s="6" t="s">
        <v>227</v>
      </c>
      <c r="E42" s="6"/>
      <c r="F42" s="6"/>
      <c r="G42" s="6" t="s">
        <v>25</v>
      </c>
      <c r="H42" s="6" t="s">
        <v>228</v>
      </c>
      <c r="I42" s="6" t="str">
        <f>VLOOKUP(H42,'[1]All Kend Dari Team ACC'!kendaraan,2,FALSE)</f>
        <v>R4</v>
      </c>
      <c r="J42" s="6" t="s">
        <v>229</v>
      </c>
      <c r="K42" s="6" t="s">
        <v>230</v>
      </c>
      <c r="L42" s="6"/>
      <c r="M42" s="6" t="s">
        <v>231</v>
      </c>
      <c r="N42" s="6" t="s">
        <v>232</v>
      </c>
      <c r="O42" s="6" t="s">
        <v>108</v>
      </c>
      <c r="P42" s="9" t="s">
        <v>75</v>
      </c>
      <c r="Q42" s="9"/>
      <c r="R42" s="6"/>
      <c r="S42" s="6" t="s">
        <v>233</v>
      </c>
      <c r="T42" s="6"/>
    </row>
    <row r="43" spans="1:20" ht="15.75" x14ac:dyDescent="0.25">
      <c r="A43" s="6">
        <v>42</v>
      </c>
      <c r="B43" s="6" t="s">
        <v>40</v>
      </c>
      <c r="C43" s="8" t="s">
        <v>40</v>
      </c>
      <c r="D43" s="6" t="s">
        <v>234</v>
      </c>
      <c r="E43" s="6"/>
      <c r="F43" s="6"/>
      <c r="G43" s="6" t="s">
        <v>46</v>
      </c>
      <c r="H43" s="6" t="s">
        <v>145</v>
      </c>
      <c r="I43" s="6" t="str">
        <f>VLOOKUP(H43,'[1]All Kend Dari Team ACC'!kendaraan,2,FALSE)</f>
        <v>R4</v>
      </c>
      <c r="J43" s="6" t="s">
        <v>235</v>
      </c>
      <c r="K43" s="6"/>
      <c r="L43" s="6">
        <v>2021</v>
      </c>
      <c r="M43" s="6" t="s">
        <v>236</v>
      </c>
      <c r="N43" s="6" t="s">
        <v>109</v>
      </c>
      <c r="O43" s="6" t="s">
        <v>108</v>
      </c>
      <c r="P43" s="9" t="s">
        <v>40</v>
      </c>
      <c r="Q43" s="9" t="s">
        <v>109</v>
      </c>
      <c r="R43" s="6" t="s">
        <v>161</v>
      </c>
      <c r="S43" s="6" t="s">
        <v>176</v>
      </c>
      <c r="T43" s="6" t="s">
        <v>237</v>
      </c>
    </row>
    <row r="44" spans="1:20" ht="15.75" x14ac:dyDescent="0.25">
      <c r="A44" s="6">
        <v>43</v>
      </c>
      <c r="B44" s="6" t="s">
        <v>238</v>
      </c>
      <c r="C44" s="8"/>
      <c r="D44" s="6" t="s">
        <v>100</v>
      </c>
      <c r="E44" s="6"/>
      <c r="F44" s="6"/>
      <c r="G44" s="6" t="s">
        <v>77</v>
      </c>
      <c r="H44" s="6" t="s">
        <v>100</v>
      </c>
      <c r="I44" s="6" t="str">
        <f>VLOOKUP(H44,'[1]All Kend Dari Team ACC'!kendaraan,2,FALSE)</f>
        <v>R4</v>
      </c>
      <c r="J44" s="6" t="s">
        <v>239</v>
      </c>
      <c r="K44" s="6"/>
      <c r="L44" s="6"/>
      <c r="M44" s="6" t="s">
        <v>109</v>
      </c>
      <c r="N44" s="6" t="s">
        <v>240</v>
      </c>
      <c r="O44" s="6"/>
      <c r="P44" s="9" t="s">
        <v>141</v>
      </c>
      <c r="Q44" s="9" t="s">
        <v>141</v>
      </c>
      <c r="R44" s="6"/>
      <c r="S44" s="6" t="s">
        <v>63</v>
      </c>
      <c r="T44" s="6"/>
    </row>
    <row r="45" spans="1:20" ht="15.75" x14ac:dyDescent="0.25">
      <c r="A45" s="6">
        <v>44</v>
      </c>
      <c r="B45" s="6" t="s">
        <v>241</v>
      </c>
      <c r="C45" s="8"/>
      <c r="D45" s="6" t="s">
        <v>100</v>
      </c>
      <c r="E45" s="6"/>
      <c r="F45" s="6"/>
      <c r="G45" s="6" t="s">
        <v>77</v>
      </c>
      <c r="H45" s="6" t="s">
        <v>100</v>
      </c>
      <c r="I45" s="6" t="str">
        <f>VLOOKUP(H45,'[1]All Kend Dari Team ACC'!kendaraan,2,FALSE)</f>
        <v>R4</v>
      </c>
      <c r="J45" s="6" t="s">
        <v>242</v>
      </c>
      <c r="K45" s="6"/>
      <c r="L45" s="6"/>
      <c r="M45" s="6" t="s">
        <v>243</v>
      </c>
      <c r="N45" s="6" t="s">
        <v>244</v>
      </c>
      <c r="O45" s="6"/>
      <c r="P45" s="9" t="s">
        <v>141</v>
      </c>
      <c r="Q45" s="9" t="s">
        <v>141</v>
      </c>
      <c r="R45" s="6"/>
      <c r="S45" s="6"/>
      <c r="T45" s="6" t="s">
        <v>245</v>
      </c>
    </row>
    <row r="46" spans="1:20" ht="15.75" x14ac:dyDescent="0.25">
      <c r="A46" s="6">
        <v>45</v>
      </c>
      <c r="B46" s="6" t="s">
        <v>246</v>
      </c>
      <c r="C46" s="8" t="s">
        <v>198</v>
      </c>
      <c r="D46" s="6" t="s">
        <v>100</v>
      </c>
      <c r="E46" s="6"/>
      <c r="F46" s="6"/>
      <c r="G46" s="6" t="s">
        <v>77</v>
      </c>
      <c r="H46" s="6" t="s">
        <v>100</v>
      </c>
      <c r="I46" s="6" t="str">
        <f>VLOOKUP(H46,'[1]All Kend Dari Team ACC'!kendaraan,2,FALSE)</f>
        <v>R4</v>
      </c>
      <c r="J46" s="6" t="s">
        <v>247</v>
      </c>
      <c r="K46" s="6"/>
      <c r="L46" s="6"/>
      <c r="M46" s="6" t="s">
        <v>248</v>
      </c>
      <c r="N46" s="6" t="s">
        <v>249</v>
      </c>
      <c r="O46" s="6" t="s">
        <v>166</v>
      </c>
      <c r="P46" s="9" t="s">
        <v>198</v>
      </c>
      <c r="Q46" s="9"/>
      <c r="R46" s="6"/>
      <c r="S46" s="6"/>
      <c r="T46" s="6" t="s">
        <v>250</v>
      </c>
    </row>
    <row r="47" spans="1:20" ht="15.75" x14ac:dyDescent="0.25">
      <c r="A47" s="6">
        <v>46</v>
      </c>
      <c r="B47" s="6" t="s">
        <v>251</v>
      </c>
      <c r="C47" s="8" t="s">
        <v>109</v>
      </c>
      <c r="D47" s="6" t="s">
        <v>252</v>
      </c>
      <c r="E47" s="6"/>
      <c r="F47" s="6"/>
      <c r="G47" s="6" t="s">
        <v>46</v>
      </c>
      <c r="H47" s="6" t="s">
        <v>71</v>
      </c>
      <c r="I47" s="6" t="str">
        <f>VLOOKUP(H47,'[1]All Kend Dari Team ACC'!kendaraan,2,FALSE)</f>
        <v>R4</v>
      </c>
      <c r="J47" s="6" t="s">
        <v>253</v>
      </c>
      <c r="K47" s="6"/>
      <c r="L47" s="6"/>
      <c r="M47" s="6" t="s">
        <v>109</v>
      </c>
      <c r="N47" s="6" t="s">
        <v>254</v>
      </c>
      <c r="O47" s="6"/>
      <c r="P47" s="9" t="s">
        <v>40</v>
      </c>
      <c r="Q47" s="9"/>
      <c r="R47" s="6"/>
      <c r="S47" s="6"/>
      <c r="T47" s="6" t="s">
        <v>255</v>
      </c>
    </row>
    <row r="48" spans="1:20" ht="15.75" x14ac:dyDescent="0.25">
      <c r="A48" s="6">
        <v>47</v>
      </c>
      <c r="B48" s="6" t="s">
        <v>256</v>
      </c>
      <c r="C48" s="10" t="s">
        <v>152</v>
      </c>
      <c r="D48" s="6" t="s">
        <v>257</v>
      </c>
      <c r="E48" s="6"/>
      <c r="F48" s="6"/>
      <c r="G48" s="6" t="s">
        <v>46</v>
      </c>
      <c r="H48" s="6" t="s">
        <v>258</v>
      </c>
      <c r="I48" s="6" t="str">
        <f>VLOOKUP(H48,'[1]All Kend Dari Team ACC'!kendaraan,2,FALSE)</f>
        <v>R4</v>
      </c>
      <c r="J48" s="6" t="s">
        <v>259</v>
      </c>
      <c r="K48" s="6" t="s">
        <v>260</v>
      </c>
      <c r="L48" s="6"/>
      <c r="M48" s="6" t="s">
        <v>256</v>
      </c>
      <c r="N48" s="6" t="s">
        <v>256</v>
      </c>
      <c r="O48" s="6"/>
      <c r="P48" s="9"/>
      <c r="Q48" s="9"/>
      <c r="R48" s="6"/>
      <c r="S48" s="6"/>
      <c r="T48" s="6"/>
    </row>
    <row r="49" spans="1:20" ht="15.75" x14ac:dyDescent="0.25">
      <c r="A49" s="6">
        <v>48</v>
      </c>
      <c r="B49" s="13" t="s">
        <v>256</v>
      </c>
      <c r="C49" s="8"/>
      <c r="D49" s="13"/>
      <c r="E49" s="13"/>
      <c r="F49" s="13"/>
      <c r="G49" s="13"/>
      <c r="H49" s="13"/>
      <c r="I49" s="13" t="e">
        <f>VLOOKUP(H49,'[1]All Kend Dari Team ACC'!kendaraan,2,FALSE)</f>
        <v>#N/A</v>
      </c>
      <c r="J49" s="13" t="s">
        <v>261</v>
      </c>
      <c r="K49" s="13"/>
      <c r="L49" s="13"/>
      <c r="M49" s="13"/>
      <c r="N49" s="13"/>
      <c r="O49" s="13"/>
      <c r="P49" s="9"/>
      <c r="Q49" s="9"/>
      <c r="R49" s="13"/>
      <c r="S49" s="13"/>
      <c r="T49" s="13"/>
    </row>
    <row r="50" spans="1:20" ht="15.75" x14ac:dyDescent="0.25">
      <c r="A50" s="6">
        <v>49</v>
      </c>
      <c r="B50" s="6" t="s">
        <v>262</v>
      </c>
      <c r="C50" s="8" t="s">
        <v>263</v>
      </c>
      <c r="D50" s="6" t="s">
        <v>264</v>
      </c>
      <c r="E50" s="6"/>
      <c r="F50" s="6"/>
      <c r="G50" s="6" t="s">
        <v>77</v>
      </c>
      <c r="H50" s="6" t="s">
        <v>265</v>
      </c>
      <c r="I50" s="6" t="str">
        <f>VLOOKUP(H50,'[1]All Kend Dari Team ACC'!kendaraan,2,FALSE)</f>
        <v>R4</v>
      </c>
      <c r="J50" s="6" t="s">
        <v>266</v>
      </c>
      <c r="K50" s="6"/>
      <c r="L50" s="6"/>
      <c r="M50" s="6" t="s">
        <v>267</v>
      </c>
      <c r="N50" s="6"/>
      <c r="O50" s="6"/>
      <c r="P50" s="9" t="s">
        <v>263</v>
      </c>
      <c r="Q50" s="9"/>
      <c r="R50" s="6"/>
      <c r="S50" s="6"/>
      <c r="T50" s="6"/>
    </row>
    <row r="51" spans="1:20" ht="15.75" x14ac:dyDescent="0.25">
      <c r="A51" s="6">
        <v>50</v>
      </c>
      <c r="B51" s="6" t="s">
        <v>268</v>
      </c>
      <c r="C51" s="8" t="s">
        <v>269</v>
      </c>
      <c r="D51" s="6" t="s">
        <v>270</v>
      </c>
      <c r="E51" s="6"/>
      <c r="F51" s="6"/>
      <c r="G51" s="6" t="s">
        <v>25</v>
      </c>
      <c r="H51" s="6" t="s">
        <v>26</v>
      </c>
      <c r="I51" s="6" t="e">
        <f>VLOOKUP(H51,'[1]All Kend Dari Team ACC'!kendaraan,2,FALSE)</f>
        <v>#N/A</v>
      </c>
      <c r="J51" s="6" t="s">
        <v>271</v>
      </c>
      <c r="K51" s="6"/>
      <c r="L51" s="6">
        <v>2004</v>
      </c>
      <c r="M51" s="6" t="s">
        <v>272</v>
      </c>
      <c r="N51" s="6" t="s">
        <v>273</v>
      </c>
      <c r="O51" s="6"/>
      <c r="P51" s="9"/>
      <c r="Q51" s="9"/>
      <c r="R51" s="6"/>
      <c r="S51" s="6"/>
      <c r="T51" s="6"/>
    </row>
    <row r="52" spans="1:20" ht="15.75" x14ac:dyDescent="0.25">
      <c r="A52" s="6">
        <v>51</v>
      </c>
      <c r="B52" s="6" t="s">
        <v>268</v>
      </c>
      <c r="C52" s="8" t="s">
        <v>269</v>
      </c>
      <c r="D52" s="6" t="s">
        <v>274</v>
      </c>
      <c r="E52" s="6"/>
      <c r="F52" s="6"/>
      <c r="G52" s="6" t="s">
        <v>51</v>
      </c>
      <c r="H52" s="6" t="s">
        <v>52</v>
      </c>
      <c r="I52" s="6" t="e">
        <f>VLOOKUP(H52,'[1]All Kend Dari Team ACC'!kendaraan,2,FALSE)</f>
        <v>#N/A</v>
      </c>
      <c r="J52" s="6" t="s">
        <v>275</v>
      </c>
      <c r="K52" s="6" t="s">
        <v>276</v>
      </c>
      <c r="L52" s="6">
        <v>2008</v>
      </c>
      <c r="M52" s="6" t="s">
        <v>277</v>
      </c>
      <c r="N52" s="6" t="s">
        <v>278</v>
      </c>
      <c r="O52" s="6"/>
      <c r="P52" s="9" t="s">
        <v>263</v>
      </c>
      <c r="Q52" s="9"/>
      <c r="R52" s="6"/>
      <c r="S52" s="6"/>
      <c r="T52" s="6"/>
    </row>
    <row r="53" spans="1:20" ht="15.75" x14ac:dyDescent="0.25">
      <c r="A53" s="6">
        <v>52</v>
      </c>
      <c r="B53" s="6" t="s">
        <v>268</v>
      </c>
      <c r="C53" s="8" t="s">
        <v>269</v>
      </c>
      <c r="D53" s="6" t="s">
        <v>279</v>
      </c>
      <c r="E53" s="6"/>
      <c r="F53" s="6"/>
      <c r="G53" s="6" t="s">
        <v>51</v>
      </c>
      <c r="H53" s="6" t="s">
        <v>280</v>
      </c>
      <c r="I53" s="6" t="str">
        <f>VLOOKUP(H53,'[1]All Kend Dari Team ACC'!kendaraan,2,FALSE)</f>
        <v>R4</v>
      </c>
      <c r="J53" s="6" t="s">
        <v>281</v>
      </c>
      <c r="K53" s="6" t="s">
        <v>282</v>
      </c>
      <c r="L53" s="6">
        <v>2008</v>
      </c>
      <c r="M53" s="6" t="s">
        <v>283</v>
      </c>
      <c r="N53" s="6" t="s">
        <v>283</v>
      </c>
      <c r="O53" s="6"/>
      <c r="P53" s="9" t="s">
        <v>263</v>
      </c>
      <c r="Q53" s="9"/>
      <c r="R53" s="6"/>
      <c r="S53" s="6"/>
      <c r="T53" s="6" t="s">
        <v>284</v>
      </c>
    </row>
    <row r="54" spans="1:20" ht="15.75" x14ac:dyDescent="0.25">
      <c r="A54" s="6">
        <v>53</v>
      </c>
      <c r="B54" s="6" t="s">
        <v>268</v>
      </c>
      <c r="C54" s="8" t="s">
        <v>269</v>
      </c>
      <c r="D54" s="6" t="s">
        <v>285</v>
      </c>
      <c r="E54" s="6"/>
      <c r="F54" s="6"/>
      <c r="G54" s="6" t="s">
        <v>46</v>
      </c>
      <c r="H54" s="6" t="s">
        <v>71</v>
      </c>
      <c r="I54" s="6" t="str">
        <f>VLOOKUP(H54,'[1]All Kend Dari Team ACC'!kendaraan,2,FALSE)</f>
        <v>R4</v>
      </c>
      <c r="J54" s="6" t="s">
        <v>286</v>
      </c>
      <c r="K54" s="6"/>
      <c r="L54" s="6">
        <v>2006</v>
      </c>
      <c r="M54" s="6" t="s">
        <v>283</v>
      </c>
      <c r="N54" s="6" t="s">
        <v>283</v>
      </c>
      <c r="O54" s="6"/>
      <c r="P54" s="9" t="s">
        <v>263</v>
      </c>
      <c r="Q54" s="9"/>
      <c r="R54" s="6"/>
      <c r="S54" s="6"/>
      <c r="T54" s="6"/>
    </row>
    <row r="55" spans="1:20" ht="15.75" x14ac:dyDescent="0.25">
      <c r="A55" s="6">
        <v>54</v>
      </c>
      <c r="B55" s="6" t="s">
        <v>268</v>
      </c>
      <c r="C55" s="8" t="s">
        <v>269</v>
      </c>
      <c r="D55" s="6" t="s">
        <v>287</v>
      </c>
      <c r="E55" s="6"/>
      <c r="F55" s="6"/>
      <c r="G55" s="6" t="s">
        <v>46</v>
      </c>
      <c r="H55" s="6" t="s">
        <v>71</v>
      </c>
      <c r="I55" s="6" t="str">
        <f>VLOOKUP(H55,'[1]All Kend Dari Team ACC'!kendaraan,2,FALSE)</f>
        <v>R4</v>
      </c>
      <c r="J55" s="6" t="s">
        <v>288</v>
      </c>
      <c r="K55" s="6" t="s">
        <v>289</v>
      </c>
      <c r="L55" s="6">
        <v>2006</v>
      </c>
      <c r="M55" s="6" t="s">
        <v>290</v>
      </c>
      <c r="N55" s="6" t="s">
        <v>290</v>
      </c>
      <c r="O55" s="6"/>
      <c r="P55" s="9" t="s">
        <v>263</v>
      </c>
      <c r="Q55" s="9"/>
      <c r="R55" s="6"/>
      <c r="S55" s="6"/>
      <c r="T55" s="6" t="s">
        <v>291</v>
      </c>
    </row>
    <row r="56" spans="1:20" ht="15.75" x14ac:dyDescent="0.25">
      <c r="A56" s="6">
        <v>55</v>
      </c>
      <c r="B56" s="6" t="s">
        <v>268</v>
      </c>
      <c r="C56" s="8" t="s">
        <v>269</v>
      </c>
      <c r="D56" s="6" t="s">
        <v>292</v>
      </c>
      <c r="E56" s="6"/>
      <c r="F56" s="6"/>
      <c r="G56" s="6"/>
      <c r="H56" s="6" t="s">
        <v>118</v>
      </c>
      <c r="I56" s="6" t="str">
        <f>VLOOKUP(H56,'[1]All Kend Dari Team ACC'!kendaraan,2,FALSE)</f>
        <v>R2</v>
      </c>
      <c r="J56" s="6" t="s">
        <v>293</v>
      </c>
      <c r="K56" s="6" t="s">
        <v>294</v>
      </c>
      <c r="L56" s="6">
        <v>2005</v>
      </c>
      <c r="M56" s="6" t="s">
        <v>49</v>
      </c>
      <c r="N56" s="6" t="s">
        <v>49</v>
      </c>
      <c r="O56" s="6"/>
      <c r="P56" s="9"/>
      <c r="Q56" s="9"/>
      <c r="R56" s="6" t="s">
        <v>295</v>
      </c>
      <c r="S56" s="6"/>
      <c r="T56" s="6"/>
    </row>
    <row r="57" spans="1:20" ht="15.75" x14ac:dyDescent="0.25">
      <c r="A57" s="6">
        <v>56</v>
      </c>
      <c r="B57" s="6" t="s">
        <v>268</v>
      </c>
      <c r="C57" s="8" t="s">
        <v>269</v>
      </c>
      <c r="D57" s="6" t="s">
        <v>296</v>
      </c>
      <c r="E57" s="6"/>
      <c r="F57" s="6"/>
      <c r="G57" s="6" t="s">
        <v>36</v>
      </c>
      <c r="H57" s="6" t="s">
        <v>118</v>
      </c>
      <c r="I57" s="6" t="str">
        <f>VLOOKUP(H57,'[1]All Kend Dari Team ACC'!kendaraan,2,FALSE)</f>
        <v>R2</v>
      </c>
      <c r="J57" s="6" t="s">
        <v>297</v>
      </c>
      <c r="K57" s="6"/>
      <c r="L57" s="6">
        <v>2004</v>
      </c>
      <c r="M57" s="6" t="s">
        <v>298</v>
      </c>
      <c r="N57" s="6" t="s">
        <v>262</v>
      </c>
      <c r="O57" s="6"/>
      <c r="P57" s="9"/>
      <c r="Q57" s="9"/>
      <c r="R57" s="6" t="s">
        <v>299</v>
      </c>
      <c r="S57" s="6"/>
      <c r="T57" s="6"/>
    </row>
    <row r="58" spans="1:20" ht="15.75" x14ac:dyDescent="0.25">
      <c r="A58" s="6">
        <v>57</v>
      </c>
      <c r="B58" s="6" t="s">
        <v>300</v>
      </c>
      <c r="C58" s="8" t="s">
        <v>269</v>
      </c>
      <c r="D58" s="6" t="s">
        <v>285</v>
      </c>
      <c r="E58" s="6"/>
      <c r="F58" s="6"/>
      <c r="G58" s="6" t="s">
        <v>46</v>
      </c>
      <c r="H58" s="6" t="s">
        <v>71</v>
      </c>
      <c r="I58" s="6" t="str">
        <f>VLOOKUP(H58,'[1]All Kend Dari Team ACC'!kendaraan,2,FALSE)</f>
        <v>R4</v>
      </c>
      <c r="J58" s="6" t="s">
        <v>301</v>
      </c>
      <c r="K58" s="6" t="s">
        <v>302</v>
      </c>
      <c r="L58" s="6">
        <v>2005</v>
      </c>
      <c r="M58" s="6" t="s">
        <v>303</v>
      </c>
      <c r="N58" s="6" t="s">
        <v>304</v>
      </c>
      <c r="O58" s="6" t="s">
        <v>305</v>
      </c>
      <c r="P58" s="9" t="s">
        <v>33</v>
      </c>
      <c r="Q58" s="9"/>
      <c r="R58" s="6"/>
      <c r="S58" s="6"/>
      <c r="T58" s="6" t="s">
        <v>306</v>
      </c>
    </row>
    <row r="59" spans="1:20" ht="15.75" x14ac:dyDescent="0.25">
      <c r="A59" s="6">
        <v>58</v>
      </c>
      <c r="B59" s="6" t="s">
        <v>307</v>
      </c>
      <c r="C59" s="10" t="s">
        <v>58</v>
      </c>
      <c r="D59" s="6" t="s">
        <v>308</v>
      </c>
      <c r="E59" s="6"/>
      <c r="F59" s="6"/>
      <c r="G59" s="6" t="s">
        <v>77</v>
      </c>
      <c r="H59" s="6" t="s">
        <v>309</v>
      </c>
      <c r="I59" s="6" t="str">
        <f>VLOOKUP(H59,'[1]All Kend Dari Team ACC'!kendaraan,2,FALSE)</f>
        <v>R4</v>
      </c>
      <c r="J59" s="6" t="s">
        <v>310</v>
      </c>
      <c r="K59" s="6"/>
      <c r="L59" s="6"/>
      <c r="M59" s="6" t="s">
        <v>307</v>
      </c>
      <c r="N59" s="6" t="s">
        <v>307</v>
      </c>
      <c r="O59" s="6"/>
      <c r="P59" s="9"/>
      <c r="Q59" s="9"/>
      <c r="R59" s="6"/>
      <c r="S59" s="6"/>
      <c r="T59" s="6"/>
    </row>
    <row r="60" spans="1:20" ht="15.75" x14ac:dyDescent="0.25">
      <c r="A60" s="6">
        <v>59</v>
      </c>
      <c r="B60" s="6" t="s">
        <v>311</v>
      </c>
      <c r="C60" s="8" t="s">
        <v>40</v>
      </c>
      <c r="D60" s="6" t="s">
        <v>312</v>
      </c>
      <c r="E60" s="6"/>
      <c r="F60" s="6"/>
      <c r="G60" s="6" t="s">
        <v>77</v>
      </c>
      <c r="H60" s="6" t="s">
        <v>78</v>
      </c>
      <c r="I60" s="6" t="e">
        <f>VLOOKUP(H60,'[1]All Kend Dari Team ACC'!kendaraan,2,FALSE)</f>
        <v>#N/A</v>
      </c>
      <c r="J60" s="6" t="s">
        <v>313</v>
      </c>
      <c r="K60" s="6"/>
      <c r="L60" s="6"/>
      <c r="M60" s="6" t="s">
        <v>314</v>
      </c>
      <c r="N60" s="6" t="s">
        <v>40</v>
      </c>
      <c r="O60" s="6" t="s">
        <v>82</v>
      </c>
      <c r="P60" s="9" t="s">
        <v>40</v>
      </c>
      <c r="Q60" s="9"/>
      <c r="R60" s="6"/>
      <c r="S60" s="6"/>
      <c r="T60" s="6"/>
    </row>
    <row r="61" spans="1:20" ht="15.75" x14ac:dyDescent="0.25">
      <c r="A61" s="6">
        <v>60</v>
      </c>
      <c r="B61" s="6" t="s">
        <v>315</v>
      </c>
      <c r="C61" s="10" t="s">
        <v>316</v>
      </c>
      <c r="D61" s="6" t="s">
        <v>65</v>
      </c>
      <c r="E61" s="6"/>
      <c r="F61" s="6"/>
      <c r="G61" s="6" t="s">
        <v>51</v>
      </c>
      <c r="H61" s="6" t="s">
        <v>66</v>
      </c>
      <c r="I61" s="6" t="str">
        <f>VLOOKUP(H61,'[1]All Kend Dari Team ACC'!kendaraan,2,FALSE)</f>
        <v>R4</v>
      </c>
      <c r="J61" s="6" t="s">
        <v>67</v>
      </c>
      <c r="K61" s="6"/>
      <c r="L61" s="6"/>
      <c r="M61" s="6"/>
      <c r="N61" s="6"/>
      <c r="O61" s="6"/>
      <c r="P61" s="9"/>
      <c r="Q61" s="9"/>
      <c r="R61" s="6"/>
      <c r="S61" s="6"/>
      <c r="T61" s="6"/>
    </row>
    <row r="62" spans="1:20" ht="15.75" x14ac:dyDescent="0.25">
      <c r="A62" s="6">
        <v>61</v>
      </c>
      <c r="B62" s="6" t="s">
        <v>317</v>
      </c>
      <c r="C62" s="8"/>
      <c r="D62" s="6" t="s">
        <v>318</v>
      </c>
      <c r="E62" s="6"/>
      <c r="F62" s="6"/>
      <c r="G62" s="6" t="s">
        <v>46</v>
      </c>
      <c r="H62" s="6" t="s">
        <v>71</v>
      </c>
      <c r="I62" s="6" t="str">
        <f>VLOOKUP(H62,'[1]All Kend Dari Team ACC'!kendaraan,2,FALSE)</f>
        <v>R4</v>
      </c>
      <c r="J62" s="6" t="s">
        <v>319</v>
      </c>
      <c r="K62" s="6"/>
      <c r="L62" s="6"/>
      <c r="M62" s="6"/>
      <c r="N62" s="6"/>
      <c r="O62" s="6"/>
      <c r="P62" s="9"/>
      <c r="Q62" s="9"/>
      <c r="R62" s="6"/>
      <c r="S62" s="6"/>
      <c r="T62" s="6"/>
    </row>
    <row r="63" spans="1:20" ht="15.75" x14ac:dyDescent="0.25">
      <c r="A63" s="6">
        <v>62</v>
      </c>
      <c r="B63" s="6" t="s">
        <v>317</v>
      </c>
      <c r="C63" s="8"/>
      <c r="D63" s="6" t="s">
        <v>320</v>
      </c>
      <c r="E63" s="6"/>
      <c r="F63" s="6"/>
      <c r="G63" s="6" t="s">
        <v>60</v>
      </c>
      <c r="H63" s="6" t="s">
        <v>321</v>
      </c>
      <c r="I63" s="6" t="str">
        <f>VLOOKUP(H63,'[1]All Kend Dari Team ACC'!kendaraan,2,FALSE)</f>
        <v>R4</v>
      </c>
      <c r="J63" s="6" t="s">
        <v>322</v>
      </c>
      <c r="K63" s="6"/>
      <c r="L63" s="6"/>
      <c r="M63" s="6" t="s">
        <v>323</v>
      </c>
      <c r="N63" s="6"/>
      <c r="O63" s="6"/>
      <c r="P63" s="9"/>
      <c r="Q63" s="9"/>
      <c r="R63" s="6"/>
      <c r="S63" s="6"/>
      <c r="T63" s="6"/>
    </row>
    <row r="64" spans="1:20" ht="15.75" x14ac:dyDescent="0.25">
      <c r="A64" s="6">
        <v>63</v>
      </c>
      <c r="B64" s="6" t="s">
        <v>317</v>
      </c>
      <c r="C64" s="8"/>
      <c r="D64" s="6" t="s">
        <v>324</v>
      </c>
      <c r="E64" s="6"/>
      <c r="F64" s="6"/>
      <c r="G64" s="6" t="s">
        <v>46</v>
      </c>
      <c r="H64" s="6" t="s">
        <v>325</v>
      </c>
      <c r="I64" s="6" t="str">
        <f>VLOOKUP(H64,'[1]All Kend Dari Team ACC'!kendaraan,2,FALSE)</f>
        <v>R4</v>
      </c>
      <c r="J64" s="6"/>
      <c r="K64" s="6"/>
      <c r="L64" s="6"/>
      <c r="M64" s="6" t="s">
        <v>326</v>
      </c>
      <c r="N64" s="6" t="s">
        <v>327</v>
      </c>
      <c r="O64" s="6"/>
      <c r="P64" s="9"/>
      <c r="Q64" s="9"/>
      <c r="R64" s="6"/>
      <c r="S64" s="6"/>
      <c r="T64" s="6"/>
    </row>
    <row r="65" spans="1:20" ht="15.75" x14ac:dyDescent="0.25">
      <c r="A65" s="6">
        <v>64</v>
      </c>
      <c r="B65" s="6" t="s">
        <v>328</v>
      </c>
      <c r="C65" s="8" t="s">
        <v>328</v>
      </c>
      <c r="D65" s="6" t="s">
        <v>329</v>
      </c>
      <c r="E65" s="6"/>
      <c r="F65" s="6"/>
      <c r="G65" s="6" t="s">
        <v>46</v>
      </c>
      <c r="H65" s="6" t="s">
        <v>330</v>
      </c>
      <c r="I65" s="6" t="str">
        <f>VLOOKUP(H65,'[1]All Kend Dari Team ACC'!kendaraan,2,FALSE)</f>
        <v>R4</v>
      </c>
      <c r="J65" s="6" t="s">
        <v>331</v>
      </c>
      <c r="K65" s="6"/>
      <c r="L65" s="6">
        <v>2017</v>
      </c>
      <c r="M65" s="6" t="s">
        <v>332</v>
      </c>
      <c r="N65" s="6" t="s">
        <v>109</v>
      </c>
      <c r="O65" s="6" t="s">
        <v>108</v>
      </c>
      <c r="P65" s="9" t="s">
        <v>333</v>
      </c>
      <c r="Q65" s="9"/>
      <c r="R65" s="6"/>
      <c r="S65" s="6" t="s">
        <v>334</v>
      </c>
      <c r="T65" s="6" t="s">
        <v>335</v>
      </c>
    </row>
    <row r="66" spans="1:20" ht="15.75" x14ac:dyDescent="0.25">
      <c r="A66" s="6">
        <v>65</v>
      </c>
      <c r="B66" s="6" t="s">
        <v>328</v>
      </c>
      <c r="C66" s="8" t="s">
        <v>328</v>
      </c>
      <c r="D66" s="6" t="s">
        <v>336</v>
      </c>
      <c r="E66" s="6"/>
      <c r="F66" s="6"/>
      <c r="G66" s="6" t="s">
        <v>51</v>
      </c>
      <c r="H66" s="6" t="s">
        <v>280</v>
      </c>
      <c r="I66" s="6" t="str">
        <f>VLOOKUP(H66,'[1]All Kend Dari Team ACC'!kendaraan,2,FALSE)</f>
        <v>R4</v>
      </c>
      <c r="J66" s="6" t="s">
        <v>337</v>
      </c>
      <c r="K66" s="6" t="s">
        <v>338</v>
      </c>
      <c r="L66" s="6">
        <v>2013</v>
      </c>
      <c r="M66" s="6" t="s">
        <v>339</v>
      </c>
      <c r="N66" s="6" t="s">
        <v>340</v>
      </c>
      <c r="O66" s="6" t="s">
        <v>341</v>
      </c>
      <c r="P66" s="9" t="s">
        <v>263</v>
      </c>
      <c r="Q66" s="9"/>
      <c r="R66" s="6"/>
      <c r="S66" s="6" t="s">
        <v>342</v>
      </c>
      <c r="T66" s="6" t="s">
        <v>343</v>
      </c>
    </row>
    <row r="67" spans="1:20" ht="15.75" x14ac:dyDescent="0.25">
      <c r="A67" s="6">
        <v>66</v>
      </c>
      <c r="B67" s="6" t="s">
        <v>328</v>
      </c>
      <c r="C67" s="8" t="s">
        <v>328</v>
      </c>
      <c r="D67" s="6" t="s">
        <v>344</v>
      </c>
      <c r="E67" s="6"/>
      <c r="F67" s="6"/>
      <c r="G67" s="6" t="s">
        <v>51</v>
      </c>
      <c r="H67" s="6" t="s">
        <v>345</v>
      </c>
      <c r="I67" s="6" t="e">
        <f>VLOOKUP(H67,'[1]All Kend Dari Team ACC'!kendaraan,2,FALSE)</f>
        <v>#N/A</v>
      </c>
      <c r="J67" s="6" t="s">
        <v>346</v>
      </c>
      <c r="K67" s="6"/>
      <c r="L67" s="6">
        <v>2014</v>
      </c>
      <c r="M67" s="6" t="s">
        <v>347</v>
      </c>
      <c r="N67" s="6" t="s">
        <v>348</v>
      </c>
      <c r="O67" s="6" t="s">
        <v>108</v>
      </c>
      <c r="P67" s="9" t="s">
        <v>328</v>
      </c>
      <c r="Q67" s="9"/>
      <c r="R67" s="6"/>
      <c r="S67" s="6" t="s">
        <v>32</v>
      </c>
      <c r="T67" s="6" t="s">
        <v>349</v>
      </c>
    </row>
    <row r="68" spans="1:20" ht="15.75" x14ac:dyDescent="0.25">
      <c r="A68" s="6">
        <v>67</v>
      </c>
      <c r="B68" s="6" t="s">
        <v>328</v>
      </c>
      <c r="C68" s="8" t="s">
        <v>328</v>
      </c>
      <c r="D68" s="6" t="s">
        <v>350</v>
      </c>
      <c r="E68" s="6"/>
      <c r="F68" s="6"/>
      <c r="G68" s="6" t="s">
        <v>46</v>
      </c>
      <c r="H68" s="6" t="s">
        <v>71</v>
      </c>
      <c r="I68" s="6" t="str">
        <f>VLOOKUP(H68,'[1]All Kend Dari Team ACC'!kendaraan,2,FALSE)</f>
        <v>R4</v>
      </c>
      <c r="J68" s="6" t="s">
        <v>351</v>
      </c>
      <c r="K68" s="6"/>
      <c r="L68" s="6">
        <v>2019</v>
      </c>
      <c r="M68" s="6" t="s">
        <v>352</v>
      </c>
      <c r="N68" s="6" t="s">
        <v>353</v>
      </c>
      <c r="O68" s="6" t="s">
        <v>354</v>
      </c>
      <c r="P68" s="9" t="s">
        <v>328</v>
      </c>
      <c r="Q68" s="9"/>
      <c r="R68" s="6"/>
      <c r="S68" s="6" t="s">
        <v>355</v>
      </c>
      <c r="T68" s="6" t="s">
        <v>355</v>
      </c>
    </row>
    <row r="69" spans="1:20" ht="15.75" x14ac:dyDescent="0.25">
      <c r="A69" s="6">
        <v>68</v>
      </c>
      <c r="B69" s="6" t="s">
        <v>328</v>
      </c>
      <c r="C69" s="8" t="s">
        <v>328</v>
      </c>
      <c r="D69" s="6" t="s">
        <v>356</v>
      </c>
      <c r="E69" s="6"/>
      <c r="F69" s="6"/>
      <c r="G69" s="6" t="s">
        <v>46</v>
      </c>
      <c r="H69" s="6" t="s">
        <v>71</v>
      </c>
      <c r="I69" s="6" t="str">
        <f>VLOOKUP(H69,'[1]All Kend Dari Team ACC'!kendaraan,2,FALSE)</f>
        <v>R4</v>
      </c>
      <c r="J69" s="6" t="s">
        <v>357</v>
      </c>
      <c r="K69" s="6"/>
      <c r="L69" s="6">
        <v>2018</v>
      </c>
      <c r="M69" s="6" t="s">
        <v>353</v>
      </c>
      <c r="N69" s="6" t="s">
        <v>353</v>
      </c>
      <c r="O69" s="6" t="s">
        <v>354</v>
      </c>
      <c r="P69" s="9" t="s">
        <v>328</v>
      </c>
      <c r="Q69" s="9"/>
      <c r="R69" s="6"/>
      <c r="S69" s="6" t="s">
        <v>355</v>
      </c>
      <c r="T69" s="6" t="s">
        <v>355</v>
      </c>
    </row>
    <row r="70" spans="1:20" ht="15.75" x14ac:dyDescent="0.25">
      <c r="A70" s="6">
        <v>69</v>
      </c>
      <c r="B70" s="6" t="s">
        <v>328</v>
      </c>
      <c r="C70" s="8" t="s">
        <v>328</v>
      </c>
      <c r="D70" s="6" t="s">
        <v>358</v>
      </c>
      <c r="E70" s="6"/>
      <c r="F70" s="6"/>
      <c r="G70" s="6" t="s">
        <v>60</v>
      </c>
      <c r="H70" s="6" t="s">
        <v>61</v>
      </c>
      <c r="I70" s="6" t="str">
        <f>VLOOKUP(H70,'[1]All Kend Dari Team ACC'!kendaraan,2,FALSE)</f>
        <v>R4</v>
      </c>
      <c r="J70" s="6" t="s">
        <v>359</v>
      </c>
      <c r="K70" s="6"/>
      <c r="L70" s="6">
        <v>2014</v>
      </c>
      <c r="M70" s="6" t="s">
        <v>355</v>
      </c>
      <c r="N70" s="6" t="s">
        <v>355</v>
      </c>
      <c r="O70" s="6" t="s">
        <v>354</v>
      </c>
      <c r="P70" s="9" t="s">
        <v>328</v>
      </c>
      <c r="Q70" s="9"/>
      <c r="R70" s="6"/>
      <c r="S70" s="6" t="s">
        <v>355</v>
      </c>
      <c r="T70" s="6" t="s">
        <v>355</v>
      </c>
    </row>
    <row r="71" spans="1:20" ht="15.75" x14ac:dyDescent="0.25">
      <c r="A71" s="6">
        <v>70</v>
      </c>
      <c r="B71" s="6" t="s">
        <v>328</v>
      </c>
      <c r="C71" s="8" t="s">
        <v>328</v>
      </c>
      <c r="D71" s="6" t="s">
        <v>360</v>
      </c>
      <c r="E71" s="6"/>
      <c r="F71" s="6"/>
      <c r="G71" s="6" t="s">
        <v>60</v>
      </c>
      <c r="H71" s="6" t="s">
        <v>61</v>
      </c>
      <c r="I71" s="6" t="str">
        <f>VLOOKUP(H71,'[1]All Kend Dari Team ACC'!kendaraan,2,FALSE)</f>
        <v>R4</v>
      </c>
      <c r="J71" s="6" t="s">
        <v>361</v>
      </c>
      <c r="K71" s="6"/>
      <c r="L71" s="6">
        <v>2019</v>
      </c>
      <c r="M71" s="6" t="s">
        <v>355</v>
      </c>
      <c r="N71" s="6" t="s">
        <v>355</v>
      </c>
      <c r="O71" s="6" t="s">
        <v>354</v>
      </c>
      <c r="P71" s="9" t="s">
        <v>328</v>
      </c>
      <c r="Q71" s="9"/>
      <c r="R71" s="6"/>
      <c r="S71" s="6" t="s">
        <v>355</v>
      </c>
      <c r="T71" s="6" t="s">
        <v>355</v>
      </c>
    </row>
    <row r="72" spans="1:20" ht="15.75" x14ac:dyDescent="0.25">
      <c r="A72" s="6">
        <v>71</v>
      </c>
      <c r="B72" s="6" t="s">
        <v>328</v>
      </c>
      <c r="C72" s="8" t="s">
        <v>328</v>
      </c>
      <c r="D72" s="6" t="s">
        <v>362</v>
      </c>
      <c r="E72" s="6"/>
      <c r="F72" s="6"/>
      <c r="G72" s="6" t="s">
        <v>363</v>
      </c>
      <c r="H72" s="6" t="s">
        <v>363</v>
      </c>
      <c r="I72" s="6" t="e">
        <f>VLOOKUP(H72,'[1]All Kend Dari Team ACC'!kendaraan,2,FALSE)</f>
        <v>#N/A</v>
      </c>
      <c r="J72" s="6" t="s">
        <v>364</v>
      </c>
      <c r="K72" s="6"/>
      <c r="L72" s="6">
        <v>2021</v>
      </c>
      <c r="M72" s="6" t="s">
        <v>352</v>
      </c>
      <c r="N72" s="6" t="s">
        <v>353</v>
      </c>
      <c r="O72" s="6" t="s">
        <v>354</v>
      </c>
      <c r="P72" s="9" t="s">
        <v>328</v>
      </c>
      <c r="Q72" s="9"/>
      <c r="R72" s="6"/>
      <c r="S72" s="6" t="s">
        <v>355</v>
      </c>
      <c r="T72" s="6" t="s">
        <v>355</v>
      </c>
    </row>
    <row r="73" spans="1:20" ht="15.75" x14ac:dyDescent="0.25">
      <c r="A73" s="6">
        <v>72</v>
      </c>
      <c r="B73" s="6" t="s">
        <v>328</v>
      </c>
      <c r="C73" s="8" t="s">
        <v>328</v>
      </c>
      <c r="D73" s="6" t="s">
        <v>365</v>
      </c>
      <c r="E73" s="6"/>
      <c r="F73" s="6"/>
      <c r="G73" s="6" t="s">
        <v>366</v>
      </c>
      <c r="H73" s="6" t="s">
        <v>367</v>
      </c>
      <c r="I73" s="6" t="e">
        <f>VLOOKUP(H73,'[1]All Kend Dari Team ACC'!kendaraan,2,FALSE)</f>
        <v>#N/A</v>
      </c>
      <c r="J73" s="6" t="s">
        <v>368</v>
      </c>
      <c r="K73" s="6"/>
      <c r="L73" s="6">
        <v>2013</v>
      </c>
      <c r="M73" s="6" t="s">
        <v>369</v>
      </c>
      <c r="N73" s="6" t="s">
        <v>370</v>
      </c>
      <c r="O73" s="6" t="s">
        <v>371</v>
      </c>
      <c r="P73" s="9" t="s">
        <v>328</v>
      </c>
      <c r="Q73" s="9"/>
      <c r="R73" s="6"/>
      <c r="S73" s="6" t="s">
        <v>342</v>
      </c>
      <c r="T73" s="6" t="s">
        <v>372</v>
      </c>
    </row>
    <row r="74" spans="1:20" ht="15.75" x14ac:dyDescent="0.25">
      <c r="A74" s="6">
        <v>73</v>
      </c>
      <c r="B74" s="6" t="s">
        <v>328</v>
      </c>
      <c r="C74" s="8" t="s">
        <v>328</v>
      </c>
      <c r="D74" s="6" t="s">
        <v>373</v>
      </c>
      <c r="E74" s="6"/>
      <c r="F74" s="6"/>
      <c r="G74" s="6" t="s">
        <v>46</v>
      </c>
      <c r="H74" s="6" t="s">
        <v>330</v>
      </c>
      <c r="I74" s="6" t="str">
        <f>VLOOKUP(H74,'[1]All Kend Dari Team ACC'!kendaraan,2,FALSE)</f>
        <v>R4</v>
      </c>
      <c r="J74" s="6" t="s">
        <v>374</v>
      </c>
      <c r="K74" s="6"/>
      <c r="L74" s="6">
        <v>2012</v>
      </c>
      <c r="M74" s="6" t="s">
        <v>375</v>
      </c>
      <c r="N74" s="6" t="s">
        <v>376</v>
      </c>
      <c r="O74" s="6" t="s">
        <v>108</v>
      </c>
      <c r="P74" s="9" t="s">
        <v>40</v>
      </c>
      <c r="Q74" s="9"/>
      <c r="R74" s="6" t="s">
        <v>377</v>
      </c>
      <c r="S74" s="6" t="s">
        <v>32</v>
      </c>
      <c r="T74" s="6"/>
    </row>
    <row r="75" spans="1:20" ht="15.75" x14ac:dyDescent="0.25">
      <c r="A75" s="6">
        <v>74</v>
      </c>
      <c r="B75" s="6" t="s">
        <v>328</v>
      </c>
      <c r="C75" s="8" t="s">
        <v>328</v>
      </c>
      <c r="D75" s="6" t="s">
        <v>378</v>
      </c>
      <c r="E75" s="6"/>
      <c r="F75" s="6"/>
      <c r="G75" s="6" t="s">
        <v>46</v>
      </c>
      <c r="H75" s="6" t="s">
        <v>105</v>
      </c>
      <c r="I75" s="6" t="str">
        <f>VLOOKUP(H75,'[1]All Kend Dari Team ACC'!kendaraan,2,FALSE)</f>
        <v>R4</v>
      </c>
      <c r="J75" s="6" t="s">
        <v>379</v>
      </c>
      <c r="K75" s="6"/>
      <c r="L75" s="6">
        <v>2014</v>
      </c>
      <c r="M75" s="6" t="s">
        <v>380</v>
      </c>
      <c r="N75" s="6" t="s">
        <v>355</v>
      </c>
      <c r="O75" s="6" t="s">
        <v>354</v>
      </c>
      <c r="P75" s="9" t="s">
        <v>328</v>
      </c>
      <c r="Q75" s="9"/>
      <c r="R75" s="6"/>
      <c r="S75" s="6" t="s">
        <v>355</v>
      </c>
      <c r="T75" s="6"/>
    </row>
    <row r="76" spans="1:20" ht="15.75" x14ac:dyDescent="0.25">
      <c r="A76" s="6">
        <v>75</v>
      </c>
      <c r="B76" s="6" t="s">
        <v>381</v>
      </c>
      <c r="C76" s="8" t="s">
        <v>381</v>
      </c>
      <c r="D76" s="6" t="s">
        <v>382</v>
      </c>
      <c r="E76" s="6"/>
      <c r="F76" s="6"/>
      <c r="G76" s="6" t="s">
        <v>46</v>
      </c>
      <c r="H76" s="6" t="s">
        <v>47</v>
      </c>
      <c r="I76" s="6" t="str">
        <f>VLOOKUP(H76,'[1]All Kend Dari Team ACC'!kendaraan,2,FALSE)</f>
        <v>R4</v>
      </c>
      <c r="J76" s="6" t="s">
        <v>383</v>
      </c>
      <c r="K76" s="6"/>
      <c r="L76" s="6"/>
      <c r="M76" s="6" t="s">
        <v>384</v>
      </c>
      <c r="N76" s="6" t="s">
        <v>385</v>
      </c>
      <c r="O76" s="6" t="s">
        <v>108</v>
      </c>
      <c r="P76" s="8" t="s">
        <v>381</v>
      </c>
      <c r="Q76" s="8" t="s">
        <v>381</v>
      </c>
      <c r="R76" s="6"/>
      <c r="S76" s="6"/>
      <c r="T76" s="6"/>
    </row>
    <row r="77" spans="1:20" ht="15.75" x14ac:dyDescent="0.25">
      <c r="A77" s="6">
        <v>76</v>
      </c>
      <c r="B77" s="6" t="s">
        <v>381</v>
      </c>
      <c r="C77" s="8" t="s">
        <v>381</v>
      </c>
      <c r="D77" s="6" t="s">
        <v>386</v>
      </c>
      <c r="E77" s="6"/>
      <c r="F77" s="6"/>
      <c r="G77" s="6" t="s">
        <v>46</v>
      </c>
      <c r="H77" s="6" t="s">
        <v>71</v>
      </c>
      <c r="I77" s="6" t="str">
        <f>VLOOKUP(H77,'[1]All Kend Dari Team ACC'!kendaraan,2,FALSE)</f>
        <v>R4</v>
      </c>
      <c r="J77" s="6" t="s">
        <v>387</v>
      </c>
      <c r="K77" s="6"/>
      <c r="L77" s="6">
        <v>2017</v>
      </c>
      <c r="M77" s="6" t="s">
        <v>388</v>
      </c>
      <c r="N77" s="6" t="s">
        <v>353</v>
      </c>
      <c r="O77" s="6" t="s">
        <v>82</v>
      </c>
      <c r="P77" s="8" t="s">
        <v>381</v>
      </c>
      <c r="Q77" s="8" t="s">
        <v>381</v>
      </c>
      <c r="R77" s="6"/>
      <c r="S77" s="6" t="s">
        <v>389</v>
      </c>
      <c r="T77" s="6"/>
    </row>
    <row r="78" spans="1:20" ht="15.75" x14ac:dyDescent="0.25">
      <c r="A78" s="6">
        <v>77</v>
      </c>
      <c r="B78" s="6" t="s">
        <v>381</v>
      </c>
      <c r="C78" s="8" t="s">
        <v>381</v>
      </c>
      <c r="D78" s="6" t="s">
        <v>390</v>
      </c>
      <c r="E78" s="6"/>
      <c r="F78" s="6"/>
      <c r="G78" s="6" t="s">
        <v>391</v>
      </c>
      <c r="H78" s="6" t="s">
        <v>392</v>
      </c>
      <c r="I78" s="6" t="str">
        <f>VLOOKUP(H78,'[1]All Kend Dari Team ACC'!kendaraan,2,FALSE)</f>
        <v>R4</v>
      </c>
      <c r="J78" s="6" t="s">
        <v>393</v>
      </c>
      <c r="K78" s="6"/>
      <c r="L78" s="6">
        <v>2021</v>
      </c>
      <c r="M78" s="6" t="s">
        <v>385</v>
      </c>
      <c r="N78" s="6" t="s">
        <v>385</v>
      </c>
      <c r="O78" s="6" t="s">
        <v>108</v>
      </c>
      <c r="P78" s="8" t="s">
        <v>381</v>
      </c>
      <c r="Q78" s="8" t="s">
        <v>381</v>
      </c>
      <c r="R78" s="6"/>
      <c r="S78" s="6" t="s">
        <v>394</v>
      </c>
      <c r="T78" s="6"/>
    </row>
    <row r="79" spans="1:20" ht="15.75" x14ac:dyDescent="0.25">
      <c r="A79" s="6">
        <v>78</v>
      </c>
      <c r="B79" s="6" t="s">
        <v>381</v>
      </c>
      <c r="C79" s="8" t="s">
        <v>381</v>
      </c>
      <c r="D79" s="6" t="s">
        <v>395</v>
      </c>
      <c r="E79" s="6"/>
      <c r="F79" s="6"/>
      <c r="G79" s="6" t="s">
        <v>60</v>
      </c>
      <c r="H79" s="6" t="s">
        <v>61</v>
      </c>
      <c r="I79" s="6" t="str">
        <f>VLOOKUP(H79,'[1]All Kend Dari Team ACC'!kendaraan,2,FALSE)</f>
        <v>R4</v>
      </c>
      <c r="J79" s="6" t="s">
        <v>396</v>
      </c>
      <c r="K79" s="6"/>
      <c r="L79" s="6">
        <v>2018</v>
      </c>
      <c r="M79" s="6" t="s">
        <v>389</v>
      </c>
      <c r="N79" s="6" t="s">
        <v>389</v>
      </c>
      <c r="O79" s="6"/>
      <c r="P79" s="8" t="s">
        <v>381</v>
      </c>
      <c r="Q79" s="8" t="s">
        <v>381</v>
      </c>
      <c r="R79" s="6"/>
      <c r="S79" s="6"/>
      <c r="T79" s="6"/>
    </row>
    <row r="80" spans="1:20" ht="15.75" x14ac:dyDescent="0.25">
      <c r="A80" s="6">
        <v>79</v>
      </c>
      <c r="B80" s="6" t="s">
        <v>381</v>
      </c>
      <c r="C80" s="8" t="s">
        <v>381</v>
      </c>
      <c r="D80" s="6" t="s">
        <v>397</v>
      </c>
      <c r="E80" s="6"/>
      <c r="F80" s="6"/>
      <c r="G80" s="6" t="s">
        <v>366</v>
      </c>
      <c r="H80" s="6" t="s">
        <v>367</v>
      </c>
      <c r="I80" s="6" t="e">
        <f>VLOOKUP(H80,'[1]All Kend Dari Team ACC'!kendaraan,2,FALSE)</f>
        <v>#N/A</v>
      </c>
      <c r="J80" s="6" t="s">
        <v>398</v>
      </c>
      <c r="K80" s="6"/>
      <c r="L80" s="6"/>
      <c r="M80" s="6" t="s">
        <v>353</v>
      </c>
      <c r="N80" s="6" t="s">
        <v>353</v>
      </c>
      <c r="O80" s="6" t="s">
        <v>82</v>
      </c>
      <c r="P80" s="8" t="s">
        <v>381</v>
      </c>
      <c r="Q80" s="8" t="s">
        <v>381</v>
      </c>
      <c r="R80" s="6"/>
      <c r="S80" s="6" t="s">
        <v>389</v>
      </c>
      <c r="T80" s="6"/>
    </row>
    <row r="81" spans="1:20" ht="15.75" x14ac:dyDescent="0.25">
      <c r="A81" s="6">
        <v>80</v>
      </c>
      <c r="B81" s="6" t="s">
        <v>399</v>
      </c>
      <c r="C81" s="8" t="s">
        <v>263</v>
      </c>
      <c r="D81" s="6" t="s">
        <v>400</v>
      </c>
      <c r="E81" s="6"/>
      <c r="F81" s="6"/>
      <c r="G81" s="6" t="s">
        <v>46</v>
      </c>
      <c r="H81" s="6" t="s">
        <v>71</v>
      </c>
      <c r="I81" s="6" t="str">
        <f>VLOOKUP(H81,'[1]All Kend Dari Team ACC'!kendaraan,2,FALSE)</f>
        <v>R4</v>
      </c>
      <c r="J81" s="6" t="s">
        <v>401</v>
      </c>
      <c r="K81" s="6"/>
      <c r="L81" s="6"/>
      <c r="M81" s="6" t="s">
        <v>256</v>
      </c>
      <c r="N81" s="6" t="s">
        <v>256</v>
      </c>
      <c r="O81" s="6"/>
      <c r="P81" s="9" t="s">
        <v>263</v>
      </c>
      <c r="Q81" s="9"/>
      <c r="R81" s="6"/>
      <c r="S81" s="6"/>
      <c r="T81" s="6" t="s">
        <v>402</v>
      </c>
    </row>
    <row r="82" spans="1:20" ht="15.75" x14ac:dyDescent="0.25">
      <c r="A82" s="6">
        <v>81</v>
      </c>
      <c r="B82" s="6" t="s">
        <v>109</v>
      </c>
      <c r="C82" s="8"/>
      <c r="D82" s="6" t="s">
        <v>403</v>
      </c>
      <c r="E82" s="6"/>
      <c r="F82" s="6"/>
      <c r="G82" s="6" t="s">
        <v>46</v>
      </c>
      <c r="H82" s="6" t="s">
        <v>330</v>
      </c>
      <c r="I82" s="6" t="str">
        <f>VLOOKUP(H82,'[1]All Kend Dari Team ACC'!kendaraan,2,FALSE)</f>
        <v>R4</v>
      </c>
      <c r="J82" s="6" t="s">
        <v>404</v>
      </c>
      <c r="K82" s="6"/>
      <c r="L82" s="6"/>
      <c r="M82" s="6" t="s">
        <v>405</v>
      </c>
      <c r="N82" s="6" t="s">
        <v>405</v>
      </c>
      <c r="O82" s="6"/>
      <c r="P82" s="9"/>
      <c r="Q82" s="9"/>
      <c r="R82" s="6"/>
      <c r="S82" s="6"/>
      <c r="T82" s="6"/>
    </row>
    <row r="83" spans="1:20" ht="15.75" x14ac:dyDescent="0.25">
      <c r="A83" s="6">
        <v>82</v>
      </c>
      <c r="B83" s="6" t="s">
        <v>109</v>
      </c>
      <c r="C83" s="8"/>
      <c r="D83" s="6" t="s">
        <v>406</v>
      </c>
      <c r="E83" s="6"/>
      <c r="F83" s="6"/>
      <c r="G83" s="6" t="s">
        <v>51</v>
      </c>
      <c r="H83" s="6" t="s">
        <v>407</v>
      </c>
      <c r="I83" s="6" t="str">
        <f>VLOOKUP(H83,'[1]All Kend Dari Team ACC'!kendaraan,2,FALSE)</f>
        <v>R4</v>
      </c>
      <c r="J83" s="6" t="s">
        <v>408</v>
      </c>
      <c r="K83" s="6"/>
      <c r="L83" s="6"/>
      <c r="M83" s="6" t="s">
        <v>409</v>
      </c>
      <c r="N83" s="6" t="s">
        <v>409</v>
      </c>
      <c r="O83" s="6"/>
      <c r="P83" s="9"/>
      <c r="Q83" s="9"/>
      <c r="R83" s="6"/>
      <c r="S83" s="6"/>
      <c r="T83" s="6"/>
    </row>
    <row r="84" spans="1:20" ht="15.75" x14ac:dyDescent="0.25">
      <c r="A84" s="6">
        <v>83</v>
      </c>
      <c r="B84" s="6" t="s">
        <v>109</v>
      </c>
      <c r="C84" s="8"/>
      <c r="D84" s="6" t="s">
        <v>410</v>
      </c>
      <c r="E84" s="6"/>
      <c r="F84" s="6"/>
      <c r="G84" s="6" t="s">
        <v>77</v>
      </c>
      <c r="H84" s="6" t="s">
        <v>179</v>
      </c>
      <c r="I84" s="6" t="str">
        <f>VLOOKUP(H84,'[1]All Kend Dari Team ACC'!kendaraan,2,FALSE)</f>
        <v>R4</v>
      </c>
      <c r="J84" s="6" t="s">
        <v>411</v>
      </c>
      <c r="K84" s="6"/>
      <c r="L84" s="6"/>
      <c r="M84" s="6" t="s">
        <v>412</v>
      </c>
      <c r="N84" s="6" t="s">
        <v>412</v>
      </c>
      <c r="O84" s="6"/>
      <c r="P84" s="9"/>
      <c r="Q84" s="9"/>
      <c r="R84" s="6"/>
      <c r="S84" s="6"/>
      <c r="T84" s="6"/>
    </row>
    <row r="85" spans="1:20" ht="15.75" x14ac:dyDescent="0.25">
      <c r="A85" s="6">
        <v>84</v>
      </c>
      <c r="B85" s="6" t="s">
        <v>109</v>
      </c>
      <c r="C85" s="8"/>
      <c r="D85" s="6" t="s">
        <v>413</v>
      </c>
      <c r="E85" s="6"/>
      <c r="F85" s="6"/>
      <c r="G85" s="6" t="s">
        <v>77</v>
      </c>
      <c r="H85" s="6" t="s">
        <v>179</v>
      </c>
      <c r="I85" s="6" t="str">
        <f>VLOOKUP(H85,'[1]All Kend Dari Team ACC'!kendaraan,2,FALSE)</f>
        <v>R4</v>
      </c>
      <c r="J85" s="6" t="s">
        <v>414</v>
      </c>
      <c r="K85" s="6"/>
      <c r="L85" s="6"/>
      <c r="M85" s="6" t="s">
        <v>415</v>
      </c>
      <c r="N85" s="6" t="s">
        <v>416</v>
      </c>
      <c r="O85" s="6"/>
      <c r="P85" s="9"/>
      <c r="Q85" s="9"/>
      <c r="R85" s="6"/>
      <c r="S85" s="6"/>
      <c r="T85" s="6"/>
    </row>
    <row r="86" spans="1:20" ht="15.75" x14ac:dyDescent="0.25">
      <c r="A86" s="6">
        <v>85</v>
      </c>
      <c r="B86" s="6" t="s">
        <v>109</v>
      </c>
      <c r="C86" s="8"/>
      <c r="D86" s="6" t="s">
        <v>417</v>
      </c>
      <c r="E86" s="6"/>
      <c r="F86" s="6"/>
      <c r="G86" s="6" t="s">
        <v>46</v>
      </c>
      <c r="H86" s="6" t="s">
        <v>47</v>
      </c>
      <c r="I86" s="6" t="str">
        <f>VLOOKUP(H86,'[1]All Kend Dari Team ACC'!kendaraan,2,FALSE)</f>
        <v>R4</v>
      </c>
      <c r="J86" s="6" t="s">
        <v>418</v>
      </c>
      <c r="K86" s="6"/>
      <c r="L86" s="6"/>
      <c r="M86" s="6" t="s">
        <v>419</v>
      </c>
      <c r="N86" s="6" t="s">
        <v>420</v>
      </c>
      <c r="O86" s="6"/>
      <c r="P86" s="9"/>
      <c r="Q86" s="9"/>
      <c r="R86" s="6"/>
      <c r="S86" s="6"/>
      <c r="T86" s="6"/>
    </row>
    <row r="87" spans="1:20" ht="15.75" x14ac:dyDescent="0.25">
      <c r="A87" s="6">
        <v>86</v>
      </c>
      <c r="B87" s="6" t="s">
        <v>109</v>
      </c>
      <c r="C87" s="8"/>
      <c r="D87" s="6" t="s">
        <v>421</v>
      </c>
      <c r="E87" s="6"/>
      <c r="F87" s="6"/>
      <c r="G87" s="6" t="s">
        <v>51</v>
      </c>
      <c r="H87" s="6" t="s">
        <v>422</v>
      </c>
      <c r="I87" s="6" t="str">
        <f>VLOOKUP(H87,'[1]All Kend Dari Team ACC'!kendaraan,2,FALSE)</f>
        <v>R2</v>
      </c>
      <c r="J87" s="6" t="s">
        <v>423</v>
      </c>
      <c r="K87" s="6"/>
      <c r="L87" s="6"/>
      <c r="M87" s="6"/>
      <c r="N87" s="6"/>
      <c r="O87" s="6"/>
      <c r="P87" s="9"/>
      <c r="Q87" s="9"/>
      <c r="R87" s="6"/>
      <c r="S87" s="6"/>
      <c r="T87" s="6"/>
    </row>
    <row r="88" spans="1:20" ht="15.75" x14ac:dyDescent="0.25">
      <c r="A88" s="6">
        <v>87</v>
      </c>
      <c r="B88" s="6" t="s">
        <v>109</v>
      </c>
      <c r="C88" s="8"/>
      <c r="D88" s="6" t="s">
        <v>424</v>
      </c>
      <c r="E88" s="6"/>
      <c r="F88" s="6"/>
      <c r="G88" s="6" t="s">
        <v>51</v>
      </c>
      <c r="H88" s="6" t="s">
        <v>422</v>
      </c>
      <c r="I88" s="6" t="str">
        <f>VLOOKUP(H88,'[1]All Kend Dari Team ACC'!kendaraan,2,FALSE)</f>
        <v>R2</v>
      </c>
      <c r="J88" s="6" t="s">
        <v>425</v>
      </c>
      <c r="K88" s="6"/>
      <c r="L88" s="6"/>
      <c r="M88" s="6" t="s">
        <v>426</v>
      </c>
      <c r="N88" s="6" t="s">
        <v>426</v>
      </c>
      <c r="O88" s="6"/>
      <c r="P88" s="9"/>
      <c r="Q88" s="9"/>
      <c r="R88" s="6"/>
      <c r="S88" s="6"/>
      <c r="T88" s="6"/>
    </row>
    <row r="89" spans="1:20" ht="15.75" x14ac:dyDescent="0.25">
      <c r="A89" s="6">
        <v>88</v>
      </c>
      <c r="B89" s="13" t="s">
        <v>109</v>
      </c>
      <c r="C89" s="8"/>
      <c r="D89" s="13" t="s">
        <v>427</v>
      </c>
      <c r="E89" s="13"/>
      <c r="F89" s="13"/>
      <c r="G89" s="13" t="s">
        <v>51</v>
      </c>
      <c r="H89" s="13" t="s">
        <v>428</v>
      </c>
      <c r="I89" s="13" t="e">
        <f>VLOOKUP(H89,'[1]All Kend Dari Team ACC'!kendaraan,2,FALSE)</f>
        <v>#N/A</v>
      </c>
      <c r="J89" s="13" t="s">
        <v>429</v>
      </c>
      <c r="K89" s="13"/>
      <c r="L89" s="13"/>
      <c r="M89" s="13"/>
      <c r="N89" s="13"/>
      <c r="O89" s="13"/>
      <c r="P89" s="9"/>
      <c r="Q89" s="9"/>
      <c r="R89" s="13"/>
      <c r="S89" s="13"/>
      <c r="T89" s="13"/>
    </row>
    <row r="90" spans="1:20" ht="15.75" x14ac:dyDescent="0.25">
      <c r="A90" s="6">
        <v>89</v>
      </c>
      <c r="B90" s="6" t="s">
        <v>109</v>
      </c>
      <c r="C90" s="8"/>
      <c r="D90" s="6" t="s">
        <v>430</v>
      </c>
      <c r="E90" s="6"/>
      <c r="F90" s="6"/>
      <c r="G90" s="6" t="s">
        <v>51</v>
      </c>
      <c r="H90" s="6" t="s">
        <v>431</v>
      </c>
      <c r="I90" s="6" t="e">
        <f>VLOOKUP(H90,'[1]All Kend Dari Team ACC'!kendaraan,2,FALSE)</f>
        <v>#N/A</v>
      </c>
      <c r="J90" s="6" t="s">
        <v>432</v>
      </c>
      <c r="K90" s="6"/>
      <c r="L90" s="6"/>
      <c r="M90" s="6" t="s">
        <v>433</v>
      </c>
      <c r="N90" s="6" t="s">
        <v>433</v>
      </c>
      <c r="O90" s="6"/>
      <c r="P90" s="9"/>
      <c r="Q90" s="9"/>
      <c r="R90" s="6"/>
      <c r="S90" s="6"/>
      <c r="T90" s="6"/>
    </row>
    <row r="91" spans="1:20" ht="15.75" x14ac:dyDescent="0.25">
      <c r="A91" s="6">
        <v>90</v>
      </c>
      <c r="B91" s="13" t="s">
        <v>109</v>
      </c>
      <c r="C91" s="8"/>
      <c r="D91" s="13" t="s">
        <v>434</v>
      </c>
      <c r="E91" s="13"/>
      <c r="F91" s="13"/>
      <c r="G91" s="13" t="s">
        <v>51</v>
      </c>
      <c r="H91" s="13" t="s">
        <v>435</v>
      </c>
      <c r="I91" s="13" t="str">
        <f>VLOOKUP(H91,'[1]All Kend Dari Team ACC'!kendaraan,2,FALSE)</f>
        <v>R2</v>
      </c>
      <c r="J91" s="13" t="s">
        <v>436</v>
      </c>
      <c r="K91" s="13"/>
      <c r="L91" s="13"/>
      <c r="M91" s="13" t="s">
        <v>40</v>
      </c>
      <c r="N91" s="13" t="s">
        <v>40</v>
      </c>
      <c r="O91" s="13"/>
      <c r="P91" s="9"/>
      <c r="Q91" s="9"/>
      <c r="R91" s="13"/>
      <c r="S91" s="13"/>
      <c r="T91" s="13"/>
    </row>
    <row r="92" spans="1:20" ht="15.75" x14ac:dyDescent="0.25">
      <c r="A92" s="6">
        <v>91</v>
      </c>
      <c r="B92" s="6" t="s">
        <v>109</v>
      </c>
      <c r="C92" s="8"/>
      <c r="D92" s="6" t="s">
        <v>437</v>
      </c>
      <c r="E92" s="6"/>
      <c r="F92" s="6"/>
      <c r="G92" s="6" t="s">
        <v>51</v>
      </c>
      <c r="H92" s="6" t="s">
        <v>438</v>
      </c>
      <c r="I92" s="6" t="e">
        <f>VLOOKUP(H92,'[1]All Kend Dari Team ACC'!kendaraan,2,FALSE)</f>
        <v>#N/A</v>
      </c>
      <c r="J92" s="6" t="s">
        <v>439</v>
      </c>
      <c r="K92" s="6"/>
      <c r="L92" s="6"/>
      <c r="M92" s="6" t="s">
        <v>440</v>
      </c>
      <c r="N92" s="6" t="s">
        <v>440</v>
      </c>
      <c r="O92" s="6"/>
      <c r="P92" s="9"/>
      <c r="Q92" s="9"/>
      <c r="R92" s="6"/>
      <c r="S92" s="6"/>
      <c r="T92" s="6"/>
    </row>
    <row r="93" spans="1:20" ht="15.75" x14ac:dyDescent="0.25">
      <c r="A93" s="6">
        <v>92</v>
      </c>
      <c r="B93" s="6" t="s">
        <v>109</v>
      </c>
      <c r="C93" s="8"/>
      <c r="D93" s="6" t="s">
        <v>437</v>
      </c>
      <c r="E93" s="6"/>
      <c r="F93" s="6"/>
      <c r="G93" s="6" t="s">
        <v>51</v>
      </c>
      <c r="H93" s="6" t="s">
        <v>438</v>
      </c>
      <c r="I93" s="6" t="e">
        <f>VLOOKUP(H93,'[1]All Kend Dari Team ACC'!kendaraan,2,FALSE)</f>
        <v>#N/A</v>
      </c>
      <c r="J93" s="6" t="s">
        <v>441</v>
      </c>
      <c r="K93" s="6"/>
      <c r="L93" s="6"/>
      <c r="M93" s="6" t="s">
        <v>442</v>
      </c>
      <c r="N93" s="6" t="s">
        <v>442</v>
      </c>
      <c r="O93" s="6"/>
      <c r="P93" s="9"/>
      <c r="Q93" s="9"/>
      <c r="R93" s="6"/>
      <c r="S93" s="6"/>
      <c r="T93" s="6"/>
    </row>
    <row r="94" spans="1:20" ht="15.75" x14ac:dyDescent="0.25">
      <c r="A94" s="6">
        <v>93</v>
      </c>
      <c r="B94" s="6" t="s">
        <v>109</v>
      </c>
      <c r="C94" s="8"/>
      <c r="D94" s="6" t="s">
        <v>443</v>
      </c>
      <c r="E94" s="6"/>
      <c r="F94" s="6"/>
      <c r="G94" s="6" t="s">
        <v>51</v>
      </c>
      <c r="H94" s="6" t="s">
        <v>280</v>
      </c>
      <c r="I94" s="6" t="str">
        <f>VLOOKUP(H94,'[1]All Kend Dari Team ACC'!kendaraan,2,FALSE)</f>
        <v>R4</v>
      </c>
      <c r="J94" s="6" t="s">
        <v>444</v>
      </c>
      <c r="K94" s="6" t="s">
        <v>445</v>
      </c>
      <c r="L94" s="6"/>
      <c r="M94" s="6" t="s">
        <v>446</v>
      </c>
      <c r="N94" s="6" t="s">
        <v>446</v>
      </c>
      <c r="O94" s="6"/>
      <c r="P94" s="9"/>
      <c r="Q94" s="9"/>
      <c r="R94" s="6"/>
      <c r="S94" s="6"/>
      <c r="T94" s="6"/>
    </row>
    <row r="95" spans="1:20" ht="15.75" x14ac:dyDescent="0.25">
      <c r="A95" s="6">
        <v>94</v>
      </c>
      <c r="B95" s="6" t="s">
        <v>109</v>
      </c>
      <c r="C95" s="8"/>
      <c r="D95" s="6" t="s">
        <v>447</v>
      </c>
      <c r="E95" s="6"/>
      <c r="F95" s="6"/>
      <c r="G95" s="6" t="s">
        <v>51</v>
      </c>
      <c r="H95" s="6" t="s">
        <v>448</v>
      </c>
      <c r="I95" s="6" t="str">
        <f>VLOOKUP(H95,'[1]All Kend Dari Team ACC'!kendaraan,2,FALSE)</f>
        <v>R4</v>
      </c>
      <c r="J95" s="6" t="s">
        <v>449</v>
      </c>
      <c r="K95" s="6" t="s">
        <v>450</v>
      </c>
      <c r="L95" s="6"/>
      <c r="M95" s="6" t="s">
        <v>451</v>
      </c>
      <c r="N95" s="6" t="s">
        <v>451</v>
      </c>
      <c r="O95" s="6"/>
      <c r="P95" s="9"/>
      <c r="Q95" s="9"/>
      <c r="R95" s="6" t="s">
        <v>452</v>
      </c>
      <c r="S95" s="6"/>
      <c r="T95" s="6"/>
    </row>
    <row r="96" spans="1:20" ht="15.75" x14ac:dyDescent="0.25">
      <c r="A96" s="6">
        <v>95</v>
      </c>
      <c r="B96" s="6" t="s">
        <v>109</v>
      </c>
      <c r="C96" s="8"/>
      <c r="D96" s="6" t="s">
        <v>453</v>
      </c>
      <c r="E96" s="6"/>
      <c r="F96" s="6"/>
      <c r="G96" s="6" t="s">
        <v>204</v>
      </c>
      <c r="H96" s="6" t="s">
        <v>454</v>
      </c>
      <c r="I96" s="6" t="str">
        <f>VLOOKUP(H96,'[1]All Kend Dari Team ACC'!kendaraan,2,FALSE)</f>
        <v>R4</v>
      </c>
      <c r="J96" s="6" t="s">
        <v>455</v>
      </c>
      <c r="K96" s="6" t="s">
        <v>456</v>
      </c>
      <c r="L96" s="6"/>
      <c r="M96" s="6" t="s">
        <v>457</v>
      </c>
      <c r="N96" s="6" t="s">
        <v>457</v>
      </c>
      <c r="O96" s="6"/>
      <c r="P96" s="9"/>
      <c r="Q96" s="9"/>
      <c r="R96" s="6"/>
      <c r="S96" s="6"/>
      <c r="T96" s="6"/>
    </row>
    <row r="97" spans="1:20" ht="15.75" x14ac:dyDescent="0.25">
      <c r="A97" s="6">
        <v>96</v>
      </c>
      <c r="B97" s="6" t="s">
        <v>109</v>
      </c>
      <c r="C97" s="8"/>
      <c r="D97" s="6" t="s">
        <v>453</v>
      </c>
      <c r="E97" s="6"/>
      <c r="F97" s="6"/>
      <c r="G97" s="6" t="s">
        <v>204</v>
      </c>
      <c r="H97" s="6" t="s">
        <v>454</v>
      </c>
      <c r="I97" s="6" t="str">
        <f>VLOOKUP(H97,'[1]All Kend Dari Team ACC'!kendaraan,2,FALSE)</f>
        <v>R4</v>
      </c>
      <c r="J97" s="6" t="s">
        <v>458</v>
      </c>
      <c r="K97" s="6"/>
      <c r="L97" s="6"/>
      <c r="M97" s="6"/>
      <c r="N97" s="6"/>
      <c r="O97" s="6"/>
      <c r="P97" s="9"/>
      <c r="Q97" s="9"/>
      <c r="R97" s="6"/>
      <c r="S97" s="6"/>
      <c r="T97" s="6"/>
    </row>
    <row r="98" spans="1:20" ht="15.75" x14ac:dyDescent="0.25">
      <c r="A98" s="6">
        <v>97</v>
      </c>
      <c r="B98" s="6" t="s">
        <v>109</v>
      </c>
      <c r="C98" s="8"/>
      <c r="D98" s="6" t="s">
        <v>459</v>
      </c>
      <c r="E98" s="6"/>
      <c r="F98" s="6"/>
      <c r="G98" s="6" t="s">
        <v>460</v>
      </c>
      <c r="H98" s="6" t="s">
        <v>461</v>
      </c>
      <c r="I98" s="6" t="e">
        <f>VLOOKUP(H98,'[1]All Kend Dari Team ACC'!kendaraan,2,FALSE)</f>
        <v>#N/A</v>
      </c>
      <c r="J98" s="6" t="s">
        <v>462</v>
      </c>
      <c r="K98" s="6"/>
      <c r="L98" s="6"/>
      <c r="M98" s="6" t="s">
        <v>463</v>
      </c>
      <c r="N98" s="6" t="s">
        <v>463</v>
      </c>
      <c r="O98" s="6"/>
      <c r="P98" s="9"/>
      <c r="Q98" s="9"/>
      <c r="R98" s="6"/>
      <c r="S98" s="6"/>
      <c r="T98" s="6"/>
    </row>
    <row r="99" spans="1:20" ht="15.75" x14ac:dyDescent="0.25">
      <c r="A99" s="6">
        <v>98</v>
      </c>
      <c r="B99" s="6" t="s">
        <v>109</v>
      </c>
      <c r="C99" s="8"/>
      <c r="D99" s="6" t="s">
        <v>464</v>
      </c>
      <c r="E99" s="6"/>
      <c r="F99" s="6"/>
      <c r="G99" s="6" t="s">
        <v>465</v>
      </c>
      <c r="H99" s="6" t="s">
        <v>466</v>
      </c>
      <c r="I99" s="6" t="str">
        <f>VLOOKUP(H99,'[1]All Kend Dari Team ACC'!kendaraan,2,FALSE)</f>
        <v>R4</v>
      </c>
      <c r="J99" s="6" t="s">
        <v>467</v>
      </c>
      <c r="K99" s="6" t="s">
        <v>468</v>
      </c>
      <c r="L99" s="6"/>
      <c r="M99" s="6" t="s">
        <v>469</v>
      </c>
      <c r="N99" s="6" t="s">
        <v>470</v>
      </c>
      <c r="O99" s="6"/>
      <c r="P99" s="9"/>
      <c r="Q99" s="9"/>
      <c r="R99" s="6"/>
      <c r="S99" s="6"/>
      <c r="T99" s="6"/>
    </row>
    <row r="100" spans="1:20" ht="15.75" x14ac:dyDescent="0.25">
      <c r="A100" s="6">
        <v>99</v>
      </c>
      <c r="B100" s="6" t="s">
        <v>109</v>
      </c>
      <c r="C100" s="8"/>
      <c r="D100" s="6" t="s">
        <v>464</v>
      </c>
      <c r="E100" s="6"/>
      <c r="F100" s="6"/>
      <c r="G100" s="6" t="s">
        <v>465</v>
      </c>
      <c r="H100" s="6" t="s">
        <v>466</v>
      </c>
      <c r="I100" s="6" t="str">
        <f>VLOOKUP(H100,'[1]All Kend Dari Team ACC'!kendaraan,2,FALSE)</f>
        <v>R4</v>
      </c>
      <c r="J100" s="6" t="s">
        <v>471</v>
      </c>
      <c r="K100" s="6" t="s">
        <v>472</v>
      </c>
      <c r="L100" s="6"/>
      <c r="M100" s="6" t="s">
        <v>473</v>
      </c>
      <c r="N100" s="6" t="s">
        <v>474</v>
      </c>
      <c r="O100" s="6"/>
      <c r="P100" s="9"/>
      <c r="Q100" s="9"/>
      <c r="R100" s="6"/>
      <c r="S100" s="6"/>
      <c r="T100" s="6"/>
    </row>
    <row r="101" spans="1:20" ht="15.75" x14ac:dyDescent="0.25">
      <c r="A101" s="6">
        <v>100</v>
      </c>
      <c r="B101" s="6" t="s">
        <v>109</v>
      </c>
      <c r="C101" s="8"/>
      <c r="D101" s="6" t="s">
        <v>475</v>
      </c>
      <c r="E101" s="6"/>
      <c r="F101" s="6"/>
      <c r="G101" s="6" t="s">
        <v>391</v>
      </c>
      <c r="H101" s="6" t="s">
        <v>476</v>
      </c>
      <c r="I101" s="6" t="str">
        <f>VLOOKUP(H101,'[1]All Kend Dari Team ACC'!kendaraan,2,FALSE)</f>
        <v>R4</v>
      </c>
      <c r="J101" s="6" t="s">
        <v>477</v>
      </c>
      <c r="K101" s="6"/>
      <c r="L101" s="6"/>
      <c r="M101" s="6" t="s">
        <v>262</v>
      </c>
      <c r="N101" s="6" t="s">
        <v>262</v>
      </c>
      <c r="O101" s="6"/>
      <c r="P101" s="9"/>
      <c r="Q101" s="9"/>
      <c r="R101" s="6"/>
      <c r="S101" s="6"/>
      <c r="T101" s="6"/>
    </row>
    <row r="102" spans="1:20" ht="15.75" x14ac:dyDescent="0.25">
      <c r="A102" s="6">
        <v>101</v>
      </c>
      <c r="B102" s="6" t="s">
        <v>109</v>
      </c>
      <c r="C102" s="8"/>
      <c r="D102" s="6" t="s">
        <v>478</v>
      </c>
      <c r="E102" s="6"/>
      <c r="F102" s="6"/>
      <c r="G102" s="6" t="s">
        <v>391</v>
      </c>
      <c r="H102" s="6" t="s">
        <v>479</v>
      </c>
      <c r="I102" s="6" t="str">
        <f>VLOOKUP(H102,'[1]All Kend Dari Team ACC'!kendaraan,2,FALSE)</f>
        <v>R4</v>
      </c>
      <c r="J102" s="6" t="s">
        <v>480</v>
      </c>
      <c r="K102" s="6"/>
      <c r="L102" s="6"/>
      <c r="M102" s="6" t="s">
        <v>481</v>
      </c>
      <c r="N102" s="6" t="s">
        <v>481</v>
      </c>
      <c r="O102" s="6"/>
      <c r="P102" s="9"/>
      <c r="Q102" s="9"/>
      <c r="R102" s="6"/>
      <c r="S102" s="6"/>
      <c r="T102" s="6"/>
    </row>
    <row r="103" spans="1:20" ht="15.75" x14ac:dyDescent="0.25">
      <c r="A103" s="6">
        <v>102</v>
      </c>
      <c r="B103" s="6" t="s">
        <v>109</v>
      </c>
      <c r="C103" s="8"/>
      <c r="D103" s="6" t="s">
        <v>482</v>
      </c>
      <c r="E103" s="6"/>
      <c r="F103" s="6"/>
      <c r="G103" s="6" t="s">
        <v>22</v>
      </c>
      <c r="H103" s="6" t="s">
        <v>483</v>
      </c>
      <c r="I103" s="6">
        <f>VLOOKUP(H103,'[1]All Kend Dari Team ACC'!kendaraan,2,FALSE)</f>
        <v>0</v>
      </c>
      <c r="J103" s="6" t="s">
        <v>484</v>
      </c>
      <c r="K103" s="6"/>
      <c r="L103" s="6"/>
      <c r="M103" s="6" t="s">
        <v>485</v>
      </c>
      <c r="N103" s="6" t="s">
        <v>485</v>
      </c>
      <c r="O103" s="6"/>
      <c r="P103" s="9"/>
      <c r="Q103" s="9"/>
      <c r="R103" s="6"/>
      <c r="S103" s="6"/>
      <c r="T103" s="6"/>
    </row>
    <row r="104" spans="1:20" ht="15.75" x14ac:dyDescent="0.25">
      <c r="A104" s="6">
        <v>103</v>
      </c>
      <c r="B104" s="6" t="s">
        <v>109</v>
      </c>
      <c r="C104" s="8"/>
      <c r="D104" s="6" t="s">
        <v>486</v>
      </c>
      <c r="E104" s="6"/>
      <c r="F104" s="6"/>
      <c r="G104" s="6" t="s">
        <v>60</v>
      </c>
      <c r="H104" s="6" t="s">
        <v>224</v>
      </c>
      <c r="I104" s="6" t="str">
        <f>VLOOKUP(H104,'[1]All Kend Dari Team ACC'!kendaraan,2,FALSE)</f>
        <v>R4</v>
      </c>
      <c r="J104" s="6" t="s">
        <v>487</v>
      </c>
      <c r="K104" s="6"/>
      <c r="L104" s="6"/>
      <c r="M104" s="6" t="s">
        <v>488</v>
      </c>
      <c r="N104" s="6" t="s">
        <v>488</v>
      </c>
      <c r="O104" s="6"/>
      <c r="P104" s="9"/>
      <c r="Q104" s="9"/>
      <c r="R104" s="6"/>
      <c r="S104" s="6"/>
      <c r="T104" s="6"/>
    </row>
    <row r="105" spans="1:20" ht="15.75" x14ac:dyDescent="0.25">
      <c r="A105" s="6">
        <v>104</v>
      </c>
      <c r="B105" s="6" t="s">
        <v>109</v>
      </c>
      <c r="C105" s="8"/>
      <c r="D105" s="6" t="s">
        <v>489</v>
      </c>
      <c r="E105" s="6"/>
      <c r="F105" s="6"/>
      <c r="G105" s="6" t="s">
        <v>46</v>
      </c>
      <c r="H105" s="6" t="s">
        <v>330</v>
      </c>
      <c r="I105" s="6" t="str">
        <f>VLOOKUP(H105,'[1]All Kend Dari Team ACC'!kendaraan,2,FALSE)</f>
        <v>R4</v>
      </c>
      <c r="J105" s="6" t="s">
        <v>490</v>
      </c>
      <c r="K105" s="6"/>
      <c r="L105" s="6"/>
      <c r="M105" s="6" t="s">
        <v>491</v>
      </c>
      <c r="N105" s="10" t="s">
        <v>492</v>
      </c>
      <c r="O105" s="10"/>
      <c r="P105" s="9" t="s">
        <v>109</v>
      </c>
      <c r="Q105" s="9"/>
      <c r="R105" s="6"/>
      <c r="S105" s="6"/>
      <c r="T105" s="6"/>
    </row>
    <row r="106" spans="1:20" ht="15.75" x14ac:dyDescent="0.25">
      <c r="A106" s="6">
        <v>105</v>
      </c>
      <c r="B106" s="6" t="s">
        <v>109</v>
      </c>
      <c r="C106" s="8"/>
      <c r="D106" s="6" t="s">
        <v>489</v>
      </c>
      <c r="E106" s="6"/>
      <c r="F106" s="6"/>
      <c r="G106" s="6" t="s">
        <v>46</v>
      </c>
      <c r="H106" s="6" t="s">
        <v>330</v>
      </c>
      <c r="I106" s="6" t="str">
        <f>VLOOKUP(H106,'[1]All Kend Dari Team ACC'!kendaraan,2,FALSE)</f>
        <v>R4</v>
      </c>
      <c r="J106" s="6" t="s">
        <v>493</v>
      </c>
      <c r="K106" s="6"/>
      <c r="L106" s="6"/>
      <c r="M106" s="6" t="s">
        <v>494</v>
      </c>
      <c r="N106" s="6" t="s">
        <v>494</v>
      </c>
      <c r="O106" s="6"/>
      <c r="P106" s="9"/>
      <c r="Q106" s="9"/>
      <c r="R106" s="6"/>
      <c r="S106" s="6"/>
      <c r="T106" s="6"/>
    </row>
    <row r="107" spans="1:20" ht="15.75" x14ac:dyDescent="0.25">
      <c r="A107" s="6">
        <v>106</v>
      </c>
      <c r="B107" s="6" t="s">
        <v>109</v>
      </c>
      <c r="C107" s="8"/>
      <c r="D107" s="6" t="s">
        <v>495</v>
      </c>
      <c r="E107" s="6"/>
      <c r="F107" s="6"/>
      <c r="G107" s="6" t="s">
        <v>366</v>
      </c>
      <c r="H107" s="6" t="s">
        <v>367</v>
      </c>
      <c r="I107" s="6" t="e">
        <f>VLOOKUP(H107,'[1]All Kend Dari Team ACC'!kendaraan,2,FALSE)</f>
        <v>#N/A</v>
      </c>
      <c r="J107" s="6" t="s">
        <v>496</v>
      </c>
      <c r="K107" s="6" t="s">
        <v>497</v>
      </c>
      <c r="L107" s="6"/>
      <c r="M107" s="6" t="s">
        <v>498</v>
      </c>
      <c r="N107" s="6" t="s">
        <v>498</v>
      </c>
      <c r="O107" s="6"/>
      <c r="P107" s="9"/>
      <c r="Q107" s="9"/>
      <c r="R107" s="6"/>
      <c r="S107" s="6"/>
      <c r="T107" s="6"/>
    </row>
    <row r="108" spans="1:20" ht="15.75" x14ac:dyDescent="0.25">
      <c r="A108" s="6">
        <v>107</v>
      </c>
      <c r="B108" s="6" t="s">
        <v>109</v>
      </c>
      <c r="C108" s="8"/>
      <c r="D108" s="6" t="s">
        <v>499</v>
      </c>
      <c r="E108" s="6"/>
      <c r="F108" s="6"/>
      <c r="G108" s="6" t="s">
        <v>25</v>
      </c>
      <c r="H108" s="6"/>
      <c r="I108" s="6" t="e">
        <f>VLOOKUP(H108,'[1]All Kend Dari Team ACC'!kendaraan,2,FALSE)</f>
        <v>#N/A</v>
      </c>
      <c r="J108" s="6" t="s">
        <v>500</v>
      </c>
      <c r="K108" s="6"/>
      <c r="L108" s="6"/>
      <c r="M108" s="6" t="s">
        <v>501</v>
      </c>
      <c r="N108" s="6" t="s">
        <v>501</v>
      </c>
      <c r="O108" s="6"/>
      <c r="P108" s="9"/>
      <c r="Q108" s="9"/>
      <c r="R108" s="6"/>
      <c r="S108" s="6"/>
      <c r="T108" s="6"/>
    </row>
    <row r="109" spans="1:20" ht="15.75" x14ac:dyDescent="0.25">
      <c r="A109" s="6">
        <v>108</v>
      </c>
      <c r="B109" s="6" t="s">
        <v>109</v>
      </c>
      <c r="C109" s="8"/>
      <c r="D109" s="6" t="s">
        <v>502</v>
      </c>
      <c r="E109" s="6"/>
      <c r="F109" s="6"/>
      <c r="G109" s="6" t="s">
        <v>25</v>
      </c>
      <c r="H109" s="6" t="s">
        <v>228</v>
      </c>
      <c r="I109" s="6" t="str">
        <f>VLOOKUP(H109,'[1]All Kend Dari Team ACC'!kendaraan,2,FALSE)</f>
        <v>R4</v>
      </c>
      <c r="J109" s="6" t="s">
        <v>503</v>
      </c>
      <c r="K109" s="6"/>
      <c r="L109" s="6"/>
      <c r="M109" s="6" t="s">
        <v>504</v>
      </c>
      <c r="N109" s="6" t="s">
        <v>505</v>
      </c>
      <c r="O109" s="6"/>
      <c r="P109" s="9" t="s">
        <v>141</v>
      </c>
      <c r="Q109" s="9" t="s">
        <v>141</v>
      </c>
      <c r="R109" s="6"/>
      <c r="S109" s="6" t="s">
        <v>506</v>
      </c>
      <c r="T109" s="6" t="s">
        <v>507</v>
      </c>
    </row>
    <row r="110" spans="1:20" ht="15.75" x14ac:dyDescent="0.25">
      <c r="A110" s="6">
        <v>109</v>
      </c>
      <c r="B110" s="6" t="s">
        <v>109</v>
      </c>
      <c r="C110" s="8"/>
      <c r="D110" s="6" t="s">
        <v>508</v>
      </c>
      <c r="E110" s="6"/>
      <c r="F110" s="6"/>
      <c r="G110" s="6" t="s">
        <v>25</v>
      </c>
      <c r="H110" s="6" t="s">
        <v>228</v>
      </c>
      <c r="I110" s="6" t="str">
        <f>VLOOKUP(H110,'[1]All Kend Dari Team ACC'!kendaraan,2,FALSE)</f>
        <v>R4</v>
      </c>
      <c r="J110" s="6" t="s">
        <v>509</v>
      </c>
      <c r="K110" s="6"/>
      <c r="L110" s="6"/>
      <c r="M110" s="6" t="s">
        <v>510</v>
      </c>
      <c r="N110" s="6" t="s">
        <v>510</v>
      </c>
      <c r="O110" s="6"/>
      <c r="P110" s="9"/>
      <c r="Q110" s="9"/>
      <c r="R110" s="6"/>
      <c r="S110" s="6"/>
      <c r="T110" s="6"/>
    </row>
    <row r="111" spans="1:20" ht="15.75" x14ac:dyDescent="0.25">
      <c r="A111" s="6">
        <v>110</v>
      </c>
      <c r="B111" s="6" t="s">
        <v>109</v>
      </c>
      <c r="C111" s="8"/>
      <c r="D111" s="6" t="s">
        <v>511</v>
      </c>
      <c r="E111" s="6"/>
      <c r="F111" s="6"/>
      <c r="G111" s="6" t="s">
        <v>25</v>
      </c>
      <c r="H111" s="6" t="s">
        <v>228</v>
      </c>
      <c r="I111" s="6" t="str">
        <f>VLOOKUP(H111,'[1]All Kend Dari Team ACC'!kendaraan,2,FALSE)</f>
        <v>R4</v>
      </c>
      <c r="J111" s="6" t="s">
        <v>512</v>
      </c>
      <c r="K111" s="6"/>
      <c r="L111" s="6"/>
      <c r="M111" s="6" t="s">
        <v>513</v>
      </c>
      <c r="N111" s="6" t="s">
        <v>514</v>
      </c>
      <c r="O111" s="6"/>
      <c r="P111" s="9"/>
      <c r="Q111" s="9"/>
      <c r="R111" s="6"/>
      <c r="S111" s="6"/>
      <c r="T111" s="6"/>
    </row>
    <row r="112" spans="1:20" ht="15.75" x14ac:dyDescent="0.25">
      <c r="A112" s="6">
        <v>111</v>
      </c>
      <c r="B112" s="6" t="s">
        <v>109</v>
      </c>
      <c r="C112" s="8"/>
      <c r="D112" s="6" t="s">
        <v>515</v>
      </c>
      <c r="E112" s="6"/>
      <c r="F112" s="6"/>
      <c r="G112" s="6" t="s">
        <v>25</v>
      </c>
      <c r="H112" s="6" t="s">
        <v>118</v>
      </c>
      <c r="I112" s="6" t="str">
        <f>VLOOKUP(H112,'[1]All Kend Dari Team ACC'!kendaraan,2,FALSE)</f>
        <v>R2</v>
      </c>
      <c r="J112" s="6" t="s">
        <v>516</v>
      </c>
      <c r="K112" s="6"/>
      <c r="L112" s="6"/>
      <c r="M112" s="6" t="s">
        <v>517</v>
      </c>
      <c r="N112" s="6" t="s">
        <v>109</v>
      </c>
      <c r="O112" s="6"/>
      <c r="P112" s="9"/>
      <c r="Q112" s="9"/>
      <c r="R112" s="6"/>
      <c r="S112" s="6"/>
      <c r="T112" s="6"/>
    </row>
    <row r="113" spans="1:20" ht="15.75" x14ac:dyDescent="0.25">
      <c r="A113" s="6">
        <v>112</v>
      </c>
      <c r="B113" s="6" t="s">
        <v>109</v>
      </c>
      <c r="D113" s="6" t="s">
        <v>518</v>
      </c>
      <c r="E113" s="6"/>
      <c r="F113" s="6"/>
      <c r="G113" s="6" t="s">
        <v>46</v>
      </c>
      <c r="H113" s="6" t="s">
        <v>330</v>
      </c>
      <c r="I113" s="6" t="str">
        <f>VLOOKUP(H113,'[1]All Kend Dari Team ACC'!kendaraan,2,FALSE)</f>
        <v>R4</v>
      </c>
      <c r="J113" s="6" t="s">
        <v>519</v>
      </c>
      <c r="K113" s="6" t="s">
        <v>520</v>
      </c>
      <c r="L113" s="6"/>
      <c r="M113" s="6" t="s">
        <v>521</v>
      </c>
      <c r="N113" s="6" t="s">
        <v>521</v>
      </c>
      <c r="O113" s="6"/>
      <c r="P113" s="9"/>
      <c r="Q113" s="9"/>
      <c r="R113" s="6"/>
      <c r="S113" s="6"/>
      <c r="T113" s="6"/>
    </row>
    <row r="114" spans="1:20" ht="15.75" x14ac:dyDescent="0.25">
      <c r="A114" s="6">
        <v>113</v>
      </c>
      <c r="B114" s="6" t="s">
        <v>109</v>
      </c>
      <c r="C114" s="8"/>
      <c r="D114" s="6" t="s">
        <v>522</v>
      </c>
      <c r="E114" s="6"/>
      <c r="F114" s="6"/>
      <c r="G114" s="6" t="s">
        <v>46</v>
      </c>
      <c r="H114" s="6" t="s">
        <v>330</v>
      </c>
      <c r="I114" s="6" t="str">
        <f>VLOOKUP(H114,'[1]All Kend Dari Team ACC'!kendaraan,2,FALSE)</f>
        <v>R4</v>
      </c>
      <c r="J114" s="6" t="s">
        <v>523</v>
      </c>
      <c r="K114" s="6"/>
      <c r="L114" s="6"/>
      <c r="M114" s="6" t="s">
        <v>524</v>
      </c>
      <c r="N114" s="6" t="s">
        <v>524</v>
      </c>
      <c r="O114" s="6"/>
      <c r="P114" s="9"/>
      <c r="Q114" s="9"/>
      <c r="R114" s="6"/>
      <c r="S114" s="6"/>
      <c r="T114" s="6"/>
    </row>
    <row r="115" spans="1:20" ht="15.75" x14ac:dyDescent="0.25">
      <c r="A115" s="6">
        <v>114</v>
      </c>
      <c r="B115" s="6" t="s">
        <v>109</v>
      </c>
      <c r="C115" s="8"/>
      <c r="D115" s="6" t="s">
        <v>525</v>
      </c>
      <c r="E115" s="6"/>
      <c r="F115" s="6"/>
      <c r="G115" s="6" t="s">
        <v>46</v>
      </c>
      <c r="H115" s="6" t="s">
        <v>47</v>
      </c>
      <c r="I115" s="6" t="str">
        <f>VLOOKUP(H115,'[1]All Kend Dari Team ACC'!kendaraan,2,FALSE)</f>
        <v>R4</v>
      </c>
      <c r="J115" s="6"/>
      <c r="K115" s="6"/>
      <c r="L115" s="6"/>
      <c r="M115" s="6"/>
      <c r="N115" s="6"/>
      <c r="O115" s="6"/>
      <c r="P115" s="9"/>
      <c r="Q115" s="9"/>
      <c r="R115" s="6"/>
      <c r="S115" s="6"/>
      <c r="T115" s="6"/>
    </row>
    <row r="116" spans="1:20" ht="15.75" x14ac:dyDescent="0.25">
      <c r="A116" s="6">
        <v>115</v>
      </c>
      <c r="B116" s="6" t="s">
        <v>109</v>
      </c>
      <c r="C116" s="8"/>
      <c r="D116" s="6" t="s">
        <v>526</v>
      </c>
      <c r="E116" s="6"/>
      <c r="F116" s="6"/>
      <c r="G116" s="6" t="s">
        <v>46</v>
      </c>
      <c r="H116" s="6" t="s">
        <v>71</v>
      </c>
      <c r="I116" s="6" t="str">
        <f>VLOOKUP(H116,'[1]All Kend Dari Team ACC'!kendaraan,2,FALSE)</f>
        <v>R4</v>
      </c>
      <c r="J116" s="6" t="s">
        <v>527</v>
      </c>
      <c r="K116" s="6"/>
      <c r="L116" s="6"/>
      <c r="M116" s="6" t="s">
        <v>528</v>
      </c>
      <c r="N116" s="6" t="s">
        <v>529</v>
      </c>
      <c r="O116" s="6"/>
      <c r="P116" s="9" t="s">
        <v>141</v>
      </c>
      <c r="Q116" s="9" t="s">
        <v>141</v>
      </c>
      <c r="R116" s="6"/>
      <c r="S116" s="6" t="s">
        <v>530</v>
      </c>
      <c r="T116" s="6" t="s">
        <v>531</v>
      </c>
    </row>
    <row r="117" spans="1:20" ht="15.75" x14ac:dyDescent="0.25">
      <c r="A117" s="6">
        <v>116</v>
      </c>
      <c r="B117" s="6" t="s">
        <v>109</v>
      </c>
      <c r="C117" s="8"/>
      <c r="D117" s="6" t="s">
        <v>526</v>
      </c>
      <c r="E117" s="6"/>
      <c r="F117" s="6"/>
      <c r="G117" s="6" t="s">
        <v>46</v>
      </c>
      <c r="H117" s="6" t="s">
        <v>71</v>
      </c>
      <c r="I117" s="6" t="str">
        <f>VLOOKUP(H117,'[1]All Kend Dari Team ACC'!kendaraan,2,FALSE)</f>
        <v>R4</v>
      </c>
      <c r="J117" s="6" t="s">
        <v>532</v>
      </c>
      <c r="K117" s="6"/>
      <c r="L117" s="6"/>
      <c r="M117" s="6" t="s">
        <v>533</v>
      </c>
      <c r="N117" s="6" t="s">
        <v>533</v>
      </c>
      <c r="O117" s="6"/>
      <c r="P117" s="9"/>
      <c r="Q117" s="9"/>
      <c r="R117" s="6"/>
      <c r="S117" s="6"/>
      <c r="T117" s="6"/>
    </row>
    <row r="118" spans="1:20" ht="15.75" x14ac:dyDescent="0.25">
      <c r="A118" s="6">
        <v>117</v>
      </c>
      <c r="B118" s="6" t="s">
        <v>109</v>
      </c>
      <c r="C118" s="8"/>
      <c r="D118" s="6" t="s">
        <v>534</v>
      </c>
      <c r="E118" s="6"/>
      <c r="F118" s="6"/>
      <c r="G118" s="6" t="s">
        <v>36</v>
      </c>
      <c r="H118" s="6" t="s">
        <v>535</v>
      </c>
      <c r="I118" s="6" t="e">
        <f>VLOOKUP(H118,'[1]All Kend Dari Team ACC'!kendaraan,2,FALSE)</f>
        <v>#N/A</v>
      </c>
      <c r="J118" s="6" t="s">
        <v>536</v>
      </c>
      <c r="K118" s="6"/>
      <c r="L118" s="6"/>
      <c r="M118" s="6" t="s">
        <v>537</v>
      </c>
      <c r="N118" s="6" t="s">
        <v>537</v>
      </c>
      <c r="O118" s="6"/>
      <c r="P118" s="9"/>
      <c r="Q118" s="9"/>
      <c r="R118" s="6"/>
      <c r="S118" s="6"/>
      <c r="T118" s="6"/>
    </row>
    <row r="119" spans="1:20" ht="15.75" x14ac:dyDescent="0.25">
      <c r="A119" s="6">
        <v>118</v>
      </c>
      <c r="B119" s="6" t="s">
        <v>538</v>
      </c>
      <c r="C119" s="8"/>
      <c r="D119" s="6" t="s">
        <v>539</v>
      </c>
      <c r="E119" s="6"/>
      <c r="F119" s="6"/>
      <c r="G119" s="6" t="s">
        <v>46</v>
      </c>
      <c r="H119" s="6" t="s">
        <v>105</v>
      </c>
      <c r="I119" s="6" t="str">
        <f>VLOOKUP(H119,'[1]All Kend Dari Team ACC'!kendaraan,2,FALSE)</f>
        <v>R4</v>
      </c>
      <c r="J119" s="6" t="s">
        <v>540</v>
      </c>
      <c r="K119" s="6"/>
      <c r="L119" s="6"/>
      <c r="M119" s="6" t="s">
        <v>541</v>
      </c>
      <c r="N119" s="6" t="s">
        <v>541</v>
      </c>
      <c r="O119" s="6"/>
      <c r="P119" s="9"/>
      <c r="Q119" s="9"/>
      <c r="R119" s="6"/>
      <c r="S119" s="6"/>
      <c r="T119" s="6"/>
    </row>
    <row r="120" spans="1:20" ht="15.75" x14ac:dyDescent="0.25">
      <c r="A120" s="6">
        <v>119</v>
      </c>
      <c r="B120" s="6" t="s">
        <v>542</v>
      </c>
      <c r="C120" s="8" t="s">
        <v>263</v>
      </c>
      <c r="D120" s="6" t="s">
        <v>543</v>
      </c>
      <c r="E120" s="6"/>
      <c r="F120" s="6"/>
      <c r="G120" s="6" t="s">
        <v>51</v>
      </c>
      <c r="H120" s="6" t="s">
        <v>544</v>
      </c>
      <c r="I120" s="6" t="str">
        <f>VLOOKUP(H120,'[1]All Kend Dari Team ACC'!kendaraan,2,FALSE)</f>
        <v>R4</v>
      </c>
      <c r="J120" s="6" t="s">
        <v>545</v>
      </c>
      <c r="K120" s="6"/>
      <c r="L120" s="6"/>
      <c r="M120" s="6" t="s">
        <v>546</v>
      </c>
      <c r="N120" s="6" t="s">
        <v>547</v>
      </c>
      <c r="O120" s="6"/>
      <c r="P120" s="9"/>
      <c r="Q120" s="9"/>
      <c r="R120" s="6"/>
      <c r="S120" s="6"/>
      <c r="T120" s="6"/>
    </row>
    <row r="121" spans="1:20" ht="15.75" x14ac:dyDescent="0.25">
      <c r="A121" s="6">
        <v>120</v>
      </c>
      <c r="B121" s="6" t="s">
        <v>548</v>
      </c>
      <c r="C121" s="8" t="s">
        <v>548</v>
      </c>
      <c r="D121" s="6" t="s">
        <v>549</v>
      </c>
      <c r="E121" s="6"/>
      <c r="F121" s="6"/>
      <c r="G121" s="6" t="s">
        <v>51</v>
      </c>
      <c r="H121" s="6" t="s">
        <v>550</v>
      </c>
      <c r="I121" s="6" t="e">
        <f>VLOOKUP(H121,'[1]All Kend Dari Team ACC'!kendaraan,2,FALSE)</f>
        <v>#REF!</v>
      </c>
      <c r="J121" s="6" t="s">
        <v>551</v>
      </c>
      <c r="K121" s="6" t="s">
        <v>552</v>
      </c>
      <c r="L121" s="6">
        <v>2012</v>
      </c>
      <c r="M121" s="6" t="s">
        <v>553</v>
      </c>
      <c r="N121" s="6" t="s">
        <v>554</v>
      </c>
      <c r="O121" s="6" t="s">
        <v>341</v>
      </c>
      <c r="P121" s="9" t="s">
        <v>263</v>
      </c>
      <c r="Q121" s="9" t="s">
        <v>555</v>
      </c>
      <c r="R121" s="6" t="s">
        <v>556</v>
      </c>
      <c r="S121" s="6"/>
      <c r="T121" s="6" t="s">
        <v>557</v>
      </c>
    </row>
    <row r="122" spans="1:20" ht="15.75" x14ac:dyDescent="0.25">
      <c r="A122" s="6">
        <v>121</v>
      </c>
      <c r="B122" s="6" t="s">
        <v>548</v>
      </c>
      <c r="C122" s="8" t="s">
        <v>548</v>
      </c>
      <c r="D122" s="6" t="s">
        <v>558</v>
      </c>
      <c r="E122" s="6"/>
      <c r="F122" s="6"/>
      <c r="G122" s="6" t="s">
        <v>46</v>
      </c>
      <c r="H122" s="6" t="s">
        <v>71</v>
      </c>
      <c r="I122" s="6" t="str">
        <f>VLOOKUP(H122,'[1]All Kend Dari Team ACC'!kendaraan,2,FALSE)</f>
        <v>R4</v>
      </c>
      <c r="J122" s="6" t="s">
        <v>559</v>
      </c>
      <c r="K122" s="6"/>
      <c r="L122" s="6">
        <v>2020</v>
      </c>
      <c r="M122" s="6" t="s">
        <v>560</v>
      </c>
      <c r="N122" s="6" t="s">
        <v>561</v>
      </c>
      <c r="O122" s="6" t="s">
        <v>108</v>
      </c>
      <c r="P122" s="9" t="s">
        <v>548</v>
      </c>
      <c r="Q122" s="9"/>
      <c r="R122" s="6" t="s">
        <v>562</v>
      </c>
      <c r="S122" s="6" t="s">
        <v>563</v>
      </c>
      <c r="T122" s="6"/>
    </row>
    <row r="123" spans="1:20" ht="15.75" x14ac:dyDescent="0.25">
      <c r="A123" s="6">
        <v>122</v>
      </c>
      <c r="B123" s="6" t="s">
        <v>548</v>
      </c>
      <c r="C123" s="8" t="s">
        <v>548</v>
      </c>
      <c r="D123" s="6" t="s">
        <v>564</v>
      </c>
      <c r="E123" s="6"/>
      <c r="F123" s="6"/>
      <c r="G123" s="6" t="s">
        <v>46</v>
      </c>
      <c r="H123" s="6" t="s">
        <v>71</v>
      </c>
      <c r="I123" s="6" t="str">
        <f>VLOOKUP(H123,'[1]All Kend Dari Team ACC'!kendaraan,2,FALSE)</f>
        <v>R4</v>
      </c>
      <c r="J123" s="6" t="s">
        <v>565</v>
      </c>
      <c r="K123" s="6"/>
      <c r="L123" s="6">
        <v>2020</v>
      </c>
      <c r="M123" s="6" t="s">
        <v>566</v>
      </c>
      <c r="N123" s="6" t="s">
        <v>567</v>
      </c>
      <c r="O123" s="6" t="s">
        <v>108</v>
      </c>
      <c r="P123" s="9" t="s">
        <v>548</v>
      </c>
      <c r="Q123" s="9"/>
      <c r="R123" s="6" t="s">
        <v>562</v>
      </c>
      <c r="S123" s="6" t="s">
        <v>563</v>
      </c>
      <c r="T123" s="6"/>
    </row>
    <row r="124" spans="1:20" ht="15.75" x14ac:dyDescent="0.25">
      <c r="A124" s="6">
        <v>123</v>
      </c>
      <c r="B124" s="6" t="s">
        <v>548</v>
      </c>
      <c r="C124" s="8" t="s">
        <v>548</v>
      </c>
      <c r="D124" s="6" t="s">
        <v>568</v>
      </c>
      <c r="E124" s="6"/>
      <c r="F124" s="6"/>
      <c r="G124" s="6" t="s">
        <v>22</v>
      </c>
      <c r="H124" s="6" t="s">
        <v>483</v>
      </c>
      <c r="I124" s="6">
        <f>VLOOKUP(H124,'[1]All Kend Dari Team ACC'!kendaraan,2,FALSE)</f>
        <v>0</v>
      </c>
      <c r="J124" s="6" t="s">
        <v>569</v>
      </c>
      <c r="K124" s="6"/>
      <c r="L124" s="6">
        <v>2012</v>
      </c>
      <c r="M124" s="6" t="s">
        <v>446</v>
      </c>
      <c r="N124" s="6" t="s">
        <v>446</v>
      </c>
      <c r="O124" s="6" t="s">
        <v>341</v>
      </c>
      <c r="P124" s="9" t="s">
        <v>263</v>
      </c>
      <c r="Q124" s="9"/>
      <c r="R124" s="6" t="s">
        <v>446</v>
      </c>
      <c r="S124" s="6"/>
      <c r="T124" s="6"/>
    </row>
    <row r="125" spans="1:20" ht="15.75" x14ac:dyDescent="0.25">
      <c r="A125" s="6">
        <v>124</v>
      </c>
      <c r="B125" s="6" t="s">
        <v>548</v>
      </c>
      <c r="C125" s="8" t="s">
        <v>548</v>
      </c>
      <c r="D125" s="6" t="s">
        <v>570</v>
      </c>
      <c r="E125" s="6"/>
      <c r="F125" s="6"/>
      <c r="G125" s="6" t="s">
        <v>571</v>
      </c>
      <c r="H125" s="6" t="s">
        <v>572</v>
      </c>
      <c r="I125" s="6" t="str">
        <f>VLOOKUP(H125,'[1]All Kend Dari Team ACC'!kendaraan,2,FALSE)</f>
        <v>R4</v>
      </c>
      <c r="J125" s="6" t="s">
        <v>573</v>
      </c>
      <c r="K125" s="6"/>
      <c r="L125" s="6">
        <v>2019</v>
      </c>
      <c r="M125" s="6" t="s">
        <v>574</v>
      </c>
      <c r="N125" s="6" t="s">
        <v>574</v>
      </c>
      <c r="O125" s="6" t="s">
        <v>341</v>
      </c>
      <c r="P125" s="9" t="s">
        <v>548</v>
      </c>
      <c r="Q125" s="9"/>
      <c r="R125" s="6"/>
      <c r="S125" s="6"/>
      <c r="T125" s="11" t="s">
        <v>575</v>
      </c>
    </row>
    <row r="126" spans="1:20" ht="15.75" x14ac:dyDescent="0.25">
      <c r="A126" s="6">
        <v>125</v>
      </c>
      <c r="B126" s="6" t="s">
        <v>548</v>
      </c>
      <c r="C126" s="8" t="s">
        <v>548</v>
      </c>
      <c r="D126" s="6" t="s">
        <v>576</v>
      </c>
      <c r="E126" s="6"/>
      <c r="F126" s="6"/>
      <c r="G126" s="6" t="s">
        <v>51</v>
      </c>
      <c r="H126" s="6" t="s">
        <v>577</v>
      </c>
      <c r="I126" s="6" t="str">
        <f>VLOOKUP(H126,'[1]All Kend Dari Team ACC'!kendaraan,2,FALSE)</f>
        <v>R2</v>
      </c>
      <c r="J126" s="6" t="s">
        <v>578</v>
      </c>
      <c r="K126" s="6"/>
      <c r="L126" s="6">
        <v>2022</v>
      </c>
      <c r="M126" s="6" t="s">
        <v>579</v>
      </c>
      <c r="N126" s="6" t="s">
        <v>352</v>
      </c>
      <c r="O126" s="6"/>
      <c r="P126" s="9" t="s">
        <v>548</v>
      </c>
      <c r="Q126" s="9"/>
      <c r="R126" s="6" t="s">
        <v>562</v>
      </c>
      <c r="S126" s="6" t="s">
        <v>580</v>
      </c>
      <c r="T126" s="6" t="s">
        <v>581</v>
      </c>
    </row>
    <row r="127" spans="1:20" ht="15.75" x14ac:dyDescent="0.25">
      <c r="A127" s="6">
        <v>126</v>
      </c>
      <c r="B127" s="6" t="s">
        <v>548</v>
      </c>
      <c r="C127" s="8" t="s">
        <v>548</v>
      </c>
      <c r="D127" s="6" t="s">
        <v>582</v>
      </c>
      <c r="E127" s="6"/>
      <c r="F127" s="6"/>
      <c r="G127" s="6" t="s">
        <v>51</v>
      </c>
      <c r="H127" s="6" t="s">
        <v>583</v>
      </c>
      <c r="I127" s="6" t="str">
        <f>VLOOKUP(H127,'[1]All Kend Dari Team ACC'!kendaraan,2,FALSE)</f>
        <v>R2</v>
      </c>
      <c r="J127" s="6" t="s">
        <v>584</v>
      </c>
      <c r="K127" s="6" t="s">
        <v>585</v>
      </c>
      <c r="L127" s="6">
        <v>2010</v>
      </c>
      <c r="M127" s="6" t="s">
        <v>586</v>
      </c>
      <c r="N127" s="6" t="s">
        <v>587</v>
      </c>
      <c r="O127" s="6"/>
      <c r="P127" s="9" t="s">
        <v>548</v>
      </c>
      <c r="Q127" s="9"/>
      <c r="R127" s="6" t="s">
        <v>588</v>
      </c>
      <c r="S127" s="6"/>
      <c r="T127" s="6" t="s">
        <v>32</v>
      </c>
    </row>
    <row r="128" spans="1:20" ht="15.75" x14ac:dyDescent="0.25">
      <c r="A128" s="6">
        <v>127</v>
      </c>
      <c r="B128" s="6" t="s">
        <v>548</v>
      </c>
      <c r="C128" s="8" t="s">
        <v>548</v>
      </c>
      <c r="D128" s="6" t="s">
        <v>589</v>
      </c>
      <c r="E128" s="6"/>
      <c r="F128" s="6"/>
      <c r="G128" s="6" t="s">
        <v>46</v>
      </c>
      <c r="H128" s="6" t="s">
        <v>330</v>
      </c>
      <c r="I128" s="6" t="str">
        <f>VLOOKUP(H128,'[1]All Kend Dari Team ACC'!kendaraan,2,FALSE)</f>
        <v>R4</v>
      </c>
      <c r="J128" s="6" t="s">
        <v>590</v>
      </c>
      <c r="K128" s="6" t="s">
        <v>591</v>
      </c>
      <c r="L128" s="6">
        <v>2009</v>
      </c>
      <c r="M128" s="6" t="s">
        <v>561</v>
      </c>
      <c r="N128" s="6" t="s">
        <v>592</v>
      </c>
      <c r="O128" s="6" t="s">
        <v>82</v>
      </c>
      <c r="P128" s="9" t="s">
        <v>548</v>
      </c>
      <c r="Q128" s="9"/>
      <c r="R128" s="6" t="s">
        <v>562</v>
      </c>
      <c r="S128" s="6" t="s">
        <v>563</v>
      </c>
      <c r="T128" s="6"/>
    </row>
    <row r="129" spans="1:20" ht="15.75" x14ac:dyDescent="0.25">
      <c r="A129" s="6">
        <v>128</v>
      </c>
      <c r="B129" s="6" t="s">
        <v>548</v>
      </c>
      <c r="C129" s="8" t="s">
        <v>548</v>
      </c>
      <c r="D129" s="6" t="s">
        <v>593</v>
      </c>
      <c r="E129" s="6"/>
      <c r="F129" s="6"/>
      <c r="G129" s="6" t="s">
        <v>46</v>
      </c>
      <c r="H129" s="6" t="s">
        <v>145</v>
      </c>
      <c r="I129" s="6" t="str">
        <f>VLOOKUP(H129,'[1]All Kend Dari Team ACC'!kendaraan,2,FALSE)</f>
        <v>R4</v>
      </c>
      <c r="J129" s="6" t="s">
        <v>594</v>
      </c>
      <c r="K129" s="6"/>
      <c r="L129" s="6">
        <v>2020</v>
      </c>
      <c r="M129" s="6" t="s">
        <v>595</v>
      </c>
      <c r="N129" s="6" t="s">
        <v>595</v>
      </c>
      <c r="O129" s="6" t="s">
        <v>108</v>
      </c>
      <c r="P129" s="9" t="s">
        <v>548</v>
      </c>
      <c r="Q129" s="9"/>
      <c r="R129" s="6" t="s">
        <v>596</v>
      </c>
      <c r="S129" s="6" t="s">
        <v>597</v>
      </c>
      <c r="T129" s="6" t="s">
        <v>598</v>
      </c>
    </row>
    <row r="130" spans="1:20" ht="15.75" x14ac:dyDescent="0.25">
      <c r="A130" s="6">
        <v>129</v>
      </c>
      <c r="B130" s="6" t="s">
        <v>599</v>
      </c>
      <c r="C130" s="8" t="s">
        <v>599</v>
      </c>
      <c r="D130" s="6" t="s">
        <v>600</v>
      </c>
      <c r="E130" s="6"/>
      <c r="F130" s="6"/>
      <c r="G130" s="6" t="s">
        <v>601</v>
      </c>
      <c r="H130" s="6" t="s">
        <v>601</v>
      </c>
      <c r="I130" s="6" t="str">
        <f>VLOOKUP(H130,'[1]All Kend Dari Team ACC'!kendaraan,2,FALSE)</f>
        <v>R4</v>
      </c>
      <c r="J130" s="6" t="s">
        <v>602</v>
      </c>
      <c r="K130" s="6"/>
      <c r="L130" s="6">
        <v>2000</v>
      </c>
      <c r="M130" s="6" t="s">
        <v>332</v>
      </c>
      <c r="N130" s="6" t="s">
        <v>109</v>
      </c>
      <c r="O130" s="6"/>
      <c r="P130" s="9" t="s">
        <v>109</v>
      </c>
      <c r="Q130" s="9"/>
      <c r="R130" s="6" t="s">
        <v>562</v>
      </c>
      <c r="S130" s="6" t="s">
        <v>603</v>
      </c>
      <c r="T130" s="6" t="s">
        <v>604</v>
      </c>
    </row>
    <row r="131" spans="1:20" ht="15.75" x14ac:dyDescent="0.25">
      <c r="A131" s="6">
        <v>130</v>
      </c>
      <c r="B131" s="6" t="s">
        <v>599</v>
      </c>
      <c r="C131" s="8" t="s">
        <v>599</v>
      </c>
      <c r="D131" s="6" t="s">
        <v>605</v>
      </c>
      <c r="E131" s="6"/>
      <c r="F131" s="6"/>
      <c r="G131" s="6" t="s">
        <v>51</v>
      </c>
      <c r="H131" s="6" t="s">
        <v>606</v>
      </c>
      <c r="I131" s="6" t="str">
        <f>VLOOKUP(H131,'[1]All Kend Dari Team ACC'!kendaraan,2,FALSE)</f>
        <v>R2</v>
      </c>
      <c r="J131" s="6" t="s">
        <v>607</v>
      </c>
      <c r="K131" s="6" t="s">
        <v>608</v>
      </c>
      <c r="L131" s="6">
        <v>1994</v>
      </c>
      <c r="M131" s="6" t="s">
        <v>332</v>
      </c>
      <c r="N131" s="6" t="s">
        <v>109</v>
      </c>
      <c r="O131" s="6"/>
      <c r="P131" s="9" t="s">
        <v>109</v>
      </c>
      <c r="Q131" s="9"/>
      <c r="R131" s="6" t="s">
        <v>609</v>
      </c>
      <c r="S131" s="6" t="s">
        <v>603</v>
      </c>
      <c r="T131" s="6" t="s">
        <v>610</v>
      </c>
    </row>
    <row r="132" spans="1:20" ht="15.75" x14ac:dyDescent="0.25">
      <c r="A132" s="6">
        <v>131</v>
      </c>
      <c r="B132" s="6" t="s">
        <v>599</v>
      </c>
      <c r="C132" s="8" t="s">
        <v>599</v>
      </c>
      <c r="D132" s="6" t="s">
        <v>270</v>
      </c>
      <c r="E132" s="6"/>
      <c r="F132" s="6"/>
      <c r="G132" s="6" t="s">
        <v>25</v>
      </c>
      <c r="H132" s="6" t="s">
        <v>26</v>
      </c>
      <c r="I132" s="6" t="e">
        <f>VLOOKUP(H132,'[1]All Kend Dari Team ACC'!kendaraan,2,FALSE)</f>
        <v>#N/A</v>
      </c>
      <c r="J132" s="6" t="s">
        <v>611</v>
      </c>
      <c r="K132" s="6" t="s">
        <v>612</v>
      </c>
      <c r="L132" s="6">
        <v>1994</v>
      </c>
      <c r="M132" s="6" t="s">
        <v>332</v>
      </c>
      <c r="N132" s="6" t="s">
        <v>109</v>
      </c>
      <c r="O132" s="6"/>
      <c r="P132" s="9" t="s">
        <v>109</v>
      </c>
      <c r="Q132" s="9"/>
      <c r="R132" s="6" t="s">
        <v>609</v>
      </c>
      <c r="S132" s="6" t="s">
        <v>603</v>
      </c>
      <c r="T132" s="6" t="s">
        <v>610</v>
      </c>
    </row>
    <row r="133" spans="1:20" ht="15.75" x14ac:dyDescent="0.25">
      <c r="A133" s="6">
        <v>132</v>
      </c>
      <c r="B133" s="6" t="s">
        <v>599</v>
      </c>
      <c r="C133" s="8" t="s">
        <v>599</v>
      </c>
      <c r="D133" s="6" t="s">
        <v>613</v>
      </c>
      <c r="E133" s="6"/>
      <c r="F133" s="6"/>
      <c r="G133" s="6" t="s">
        <v>126</v>
      </c>
      <c r="H133" s="6" t="s">
        <v>614</v>
      </c>
      <c r="I133" s="6" t="e">
        <f>VLOOKUP(H133,'[1]All Kend Dari Team ACC'!kendaraan,2,FALSE)</f>
        <v>#N/A</v>
      </c>
      <c r="J133" s="6" t="s">
        <v>615</v>
      </c>
      <c r="K133" s="6" t="s">
        <v>616</v>
      </c>
      <c r="L133" s="6">
        <v>1994</v>
      </c>
      <c r="M133" s="6" t="s">
        <v>332</v>
      </c>
      <c r="N133" s="6" t="s">
        <v>109</v>
      </c>
      <c r="O133" s="6"/>
      <c r="P133" s="9" t="s">
        <v>109</v>
      </c>
      <c r="Q133" s="9"/>
      <c r="R133" s="6" t="s">
        <v>609</v>
      </c>
      <c r="S133" s="6" t="s">
        <v>603</v>
      </c>
      <c r="T133" s="6" t="s">
        <v>610</v>
      </c>
    </row>
    <row r="134" spans="1:20" ht="15.75" x14ac:dyDescent="0.25">
      <c r="A134" s="6">
        <v>133</v>
      </c>
      <c r="B134" s="6" t="s">
        <v>599</v>
      </c>
      <c r="C134" s="8" t="s">
        <v>599</v>
      </c>
      <c r="D134" s="6" t="s">
        <v>617</v>
      </c>
      <c r="E134" s="6"/>
      <c r="F134" s="6"/>
      <c r="G134" s="6" t="s">
        <v>46</v>
      </c>
      <c r="H134" s="6" t="s">
        <v>71</v>
      </c>
      <c r="I134" s="6" t="str">
        <f>VLOOKUP(H134,'[1]All Kend Dari Team ACC'!kendaraan,2,FALSE)</f>
        <v>R4</v>
      </c>
      <c r="J134" s="6" t="s">
        <v>618</v>
      </c>
      <c r="K134" s="6"/>
      <c r="L134" s="6">
        <v>2020</v>
      </c>
      <c r="M134" s="6" t="s">
        <v>619</v>
      </c>
      <c r="N134" s="6" t="s">
        <v>619</v>
      </c>
      <c r="O134" s="6" t="s">
        <v>108</v>
      </c>
      <c r="P134" s="9" t="s">
        <v>620</v>
      </c>
      <c r="Q134" s="9"/>
      <c r="R134" s="6" t="s">
        <v>562</v>
      </c>
      <c r="S134" s="6" t="s">
        <v>621</v>
      </c>
      <c r="T134" s="6"/>
    </row>
    <row r="135" spans="1:20" ht="15.75" x14ac:dyDescent="0.25">
      <c r="A135" s="6">
        <v>134</v>
      </c>
      <c r="B135" s="6" t="s">
        <v>599</v>
      </c>
      <c r="C135" s="8" t="s">
        <v>599</v>
      </c>
      <c r="D135" s="6" t="s">
        <v>622</v>
      </c>
      <c r="E135" s="6"/>
      <c r="F135" s="6"/>
      <c r="G135" s="6" t="s">
        <v>46</v>
      </c>
      <c r="H135" s="6" t="s">
        <v>71</v>
      </c>
      <c r="I135" s="6" t="str">
        <f>VLOOKUP(H135,'[1]All Kend Dari Team ACC'!kendaraan,2,FALSE)</f>
        <v>R4</v>
      </c>
      <c r="J135" s="6" t="s">
        <v>623</v>
      </c>
      <c r="K135" s="6"/>
      <c r="L135" s="6">
        <v>2020</v>
      </c>
      <c r="M135" s="6" t="s">
        <v>624</v>
      </c>
      <c r="N135" s="6" t="s">
        <v>624</v>
      </c>
      <c r="O135" s="6" t="s">
        <v>108</v>
      </c>
      <c r="P135" s="9" t="s">
        <v>599</v>
      </c>
      <c r="Q135" s="9"/>
      <c r="R135" s="6"/>
      <c r="S135" s="6" t="s">
        <v>597</v>
      </c>
      <c r="T135" s="6"/>
    </row>
    <row r="136" spans="1:20" ht="15.75" x14ac:dyDescent="0.25">
      <c r="A136" s="6">
        <v>135</v>
      </c>
      <c r="B136" s="6" t="s">
        <v>599</v>
      </c>
      <c r="C136" s="8" t="s">
        <v>599</v>
      </c>
      <c r="D136" s="6" t="s">
        <v>625</v>
      </c>
      <c r="E136" s="6"/>
      <c r="F136" s="6"/>
      <c r="G136" s="6" t="s">
        <v>46</v>
      </c>
      <c r="H136" s="6" t="s">
        <v>71</v>
      </c>
      <c r="I136" s="6" t="str">
        <f>VLOOKUP(H136,'[1]All Kend Dari Team ACC'!kendaraan,2,FALSE)</f>
        <v>R4</v>
      </c>
      <c r="J136" s="6" t="s">
        <v>626</v>
      </c>
      <c r="K136" s="6"/>
      <c r="L136" s="6">
        <v>2021</v>
      </c>
      <c r="M136" s="6" t="s">
        <v>627</v>
      </c>
      <c r="N136" s="6" t="s">
        <v>628</v>
      </c>
      <c r="O136" s="6" t="s">
        <v>341</v>
      </c>
      <c r="P136" s="9" t="s">
        <v>599</v>
      </c>
      <c r="Q136" s="9"/>
      <c r="R136" s="6"/>
      <c r="S136" s="6"/>
      <c r="T136" s="6" t="s">
        <v>629</v>
      </c>
    </row>
    <row r="137" spans="1:20" ht="15.75" x14ac:dyDescent="0.25">
      <c r="A137" s="6">
        <v>136</v>
      </c>
      <c r="B137" s="6" t="s">
        <v>599</v>
      </c>
      <c r="C137" s="8" t="s">
        <v>599</v>
      </c>
      <c r="D137" s="6" t="s">
        <v>630</v>
      </c>
      <c r="E137" s="6"/>
      <c r="F137" s="6"/>
      <c r="G137" s="6" t="s">
        <v>46</v>
      </c>
      <c r="H137" s="6" t="s">
        <v>105</v>
      </c>
      <c r="I137" s="6" t="str">
        <f>VLOOKUP(H137,'[1]All Kend Dari Team ACC'!kendaraan,2,FALSE)</f>
        <v>R4</v>
      </c>
      <c r="J137" s="6" t="s">
        <v>631</v>
      </c>
      <c r="K137" s="6" t="s">
        <v>632</v>
      </c>
      <c r="L137" s="6">
        <v>2012</v>
      </c>
      <c r="M137" s="6" t="s">
        <v>633</v>
      </c>
      <c r="N137" s="6" t="s">
        <v>634</v>
      </c>
      <c r="O137" s="6" t="s">
        <v>108</v>
      </c>
      <c r="P137" s="9" t="s">
        <v>141</v>
      </c>
      <c r="Q137" s="9" t="s">
        <v>141</v>
      </c>
      <c r="R137" s="6" t="s">
        <v>562</v>
      </c>
      <c r="S137" s="6" t="s">
        <v>635</v>
      </c>
      <c r="T137" s="6" t="s">
        <v>636</v>
      </c>
    </row>
    <row r="138" spans="1:20" ht="15.75" x14ac:dyDescent="0.25">
      <c r="A138" s="6">
        <v>137</v>
      </c>
      <c r="B138" s="6" t="s">
        <v>599</v>
      </c>
      <c r="C138" s="8" t="s">
        <v>599</v>
      </c>
      <c r="D138" s="6" t="s">
        <v>637</v>
      </c>
      <c r="E138" s="6"/>
      <c r="F138" s="6"/>
      <c r="G138" s="6" t="s">
        <v>638</v>
      </c>
      <c r="H138" s="6" t="s">
        <v>483</v>
      </c>
      <c r="I138" s="6">
        <f>VLOOKUP(H138,'[1]All Kend Dari Team ACC'!kendaraan,2,FALSE)</f>
        <v>0</v>
      </c>
      <c r="J138" s="6" t="s">
        <v>639</v>
      </c>
      <c r="K138" s="6"/>
      <c r="L138" s="6">
        <v>2022</v>
      </c>
      <c r="M138" s="6"/>
      <c r="N138" s="6" t="s">
        <v>283</v>
      </c>
      <c r="O138" s="6" t="s">
        <v>341</v>
      </c>
      <c r="P138" s="9" t="s">
        <v>599</v>
      </c>
      <c r="Q138" s="9"/>
      <c r="R138" s="6"/>
      <c r="S138" s="6"/>
      <c r="T138" s="14" t="s">
        <v>640</v>
      </c>
    </row>
    <row r="139" spans="1:20" ht="15.75" x14ac:dyDescent="0.25">
      <c r="A139" s="6">
        <v>138</v>
      </c>
      <c r="B139" s="6" t="s">
        <v>599</v>
      </c>
      <c r="C139" s="8" t="s">
        <v>599</v>
      </c>
      <c r="D139" s="6" t="s">
        <v>641</v>
      </c>
      <c r="E139" s="6"/>
      <c r="F139" s="6"/>
      <c r="G139" s="6" t="s">
        <v>46</v>
      </c>
      <c r="H139" s="6" t="s">
        <v>642</v>
      </c>
      <c r="I139" s="6" t="str">
        <f>VLOOKUP(H139,'[1]All Kend Dari Team ACC'!kendaraan,2,FALSE)</f>
        <v>R4</v>
      </c>
      <c r="J139" s="6" t="s">
        <v>643</v>
      </c>
      <c r="K139" s="6"/>
      <c r="L139" s="6">
        <v>2022</v>
      </c>
      <c r="M139" s="6" t="s">
        <v>644</v>
      </c>
      <c r="N139" s="6" t="s">
        <v>644</v>
      </c>
      <c r="O139" s="6" t="s">
        <v>341</v>
      </c>
      <c r="P139" s="9" t="s">
        <v>599</v>
      </c>
      <c r="Q139" s="9"/>
      <c r="R139" s="6"/>
      <c r="S139" s="6"/>
      <c r="T139" s="14" t="s">
        <v>645</v>
      </c>
    </row>
    <row r="140" spans="1:20" ht="15.75" x14ac:dyDescent="0.25">
      <c r="A140" s="6">
        <v>139</v>
      </c>
      <c r="B140" s="6" t="s">
        <v>599</v>
      </c>
      <c r="C140" s="8" t="s">
        <v>599</v>
      </c>
      <c r="D140" s="6" t="s">
        <v>646</v>
      </c>
      <c r="E140" s="6"/>
      <c r="F140" s="6"/>
      <c r="G140" s="6" t="s">
        <v>51</v>
      </c>
      <c r="H140" s="6" t="s">
        <v>52</v>
      </c>
      <c r="I140" s="6" t="e">
        <f>VLOOKUP(H140,'[1]All Kend Dari Team ACC'!kendaraan,2,FALSE)</f>
        <v>#N/A</v>
      </c>
      <c r="J140" s="6" t="s">
        <v>647</v>
      </c>
      <c r="K140" s="6" t="s">
        <v>648</v>
      </c>
      <c r="L140" s="6">
        <v>2013</v>
      </c>
      <c r="M140" s="6" t="s">
        <v>649</v>
      </c>
      <c r="N140" s="6" t="s">
        <v>649</v>
      </c>
      <c r="O140" s="6"/>
      <c r="P140" s="9" t="s">
        <v>599</v>
      </c>
      <c r="Q140" s="9"/>
      <c r="R140" s="6" t="s">
        <v>650</v>
      </c>
      <c r="S140" s="6" t="s">
        <v>32</v>
      </c>
      <c r="T140" s="6" t="s">
        <v>651</v>
      </c>
    </row>
    <row r="141" spans="1:20" ht="15.75" x14ac:dyDescent="0.25">
      <c r="A141" s="6">
        <v>140</v>
      </c>
      <c r="B141" s="6" t="s">
        <v>599</v>
      </c>
      <c r="C141" s="8" t="s">
        <v>599</v>
      </c>
      <c r="D141" s="6" t="s">
        <v>652</v>
      </c>
      <c r="E141" s="6"/>
      <c r="F141" s="6"/>
      <c r="G141" s="6" t="s">
        <v>46</v>
      </c>
      <c r="H141" s="6" t="s">
        <v>653</v>
      </c>
      <c r="I141" s="6" t="str">
        <f>VLOOKUP(H141,'[1]All Kend Dari Team ACC'!kendaraan,2,FALSE)</f>
        <v>R4</v>
      </c>
      <c r="J141" s="6" t="s">
        <v>654</v>
      </c>
      <c r="K141" s="6" t="s">
        <v>655</v>
      </c>
      <c r="L141" s="6">
        <v>2011</v>
      </c>
      <c r="M141" s="6" t="s">
        <v>262</v>
      </c>
      <c r="N141" s="6" t="s">
        <v>262</v>
      </c>
      <c r="O141" s="6" t="s">
        <v>341</v>
      </c>
      <c r="P141" s="9" t="s">
        <v>599</v>
      </c>
      <c r="Q141" s="9"/>
      <c r="R141" s="6"/>
      <c r="S141" s="6"/>
      <c r="T141" s="14" t="s">
        <v>645</v>
      </c>
    </row>
    <row r="142" spans="1:20" ht="15.75" x14ac:dyDescent="0.25">
      <c r="A142" s="6">
        <v>141</v>
      </c>
      <c r="B142" s="6" t="s">
        <v>599</v>
      </c>
      <c r="C142" s="8" t="s">
        <v>599</v>
      </c>
      <c r="D142" s="6" t="s">
        <v>656</v>
      </c>
      <c r="E142" s="6"/>
      <c r="F142" s="6"/>
      <c r="G142" s="6" t="s">
        <v>46</v>
      </c>
      <c r="H142" s="6" t="s">
        <v>158</v>
      </c>
      <c r="I142" s="6" t="str">
        <f>VLOOKUP(H142,'[1]All Kend Dari Team ACC'!kendaraan,2,FALSE)</f>
        <v>R4</v>
      </c>
      <c r="J142" s="6" t="s">
        <v>657</v>
      </c>
      <c r="K142" s="6" t="s">
        <v>658</v>
      </c>
      <c r="L142" s="6">
        <v>2012</v>
      </c>
      <c r="M142" s="6" t="s">
        <v>659</v>
      </c>
      <c r="N142" s="6" t="s">
        <v>660</v>
      </c>
      <c r="O142" s="6" t="s">
        <v>354</v>
      </c>
      <c r="P142" s="9" t="s">
        <v>599</v>
      </c>
      <c r="Q142" s="9"/>
      <c r="R142" s="6"/>
      <c r="S142" s="6" t="s">
        <v>32</v>
      </c>
      <c r="T142" s="6" t="s">
        <v>661</v>
      </c>
    </row>
    <row r="143" spans="1:20" ht="15.75" x14ac:dyDescent="0.25">
      <c r="A143" s="6">
        <v>142</v>
      </c>
      <c r="B143" s="6" t="s">
        <v>599</v>
      </c>
      <c r="C143" s="8" t="s">
        <v>599</v>
      </c>
      <c r="D143" s="6" t="s">
        <v>662</v>
      </c>
      <c r="E143" s="6"/>
      <c r="F143" s="6"/>
      <c r="G143" s="6" t="s">
        <v>46</v>
      </c>
      <c r="H143" s="6" t="s">
        <v>330</v>
      </c>
      <c r="I143" s="6" t="str">
        <f>VLOOKUP(H143,'[1]All Kend Dari Team ACC'!kendaraan,2,FALSE)</f>
        <v>R4</v>
      </c>
      <c r="J143" s="6" t="s">
        <v>663</v>
      </c>
      <c r="K143" s="6" t="s">
        <v>664</v>
      </c>
      <c r="L143" s="6">
        <v>2017</v>
      </c>
      <c r="M143" s="6" t="s">
        <v>665</v>
      </c>
      <c r="N143" s="6" t="s">
        <v>665</v>
      </c>
      <c r="O143" s="6" t="s">
        <v>108</v>
      </c>
      <c r="P143" s="9" t="s">
        <v>109</v>
      </c>
      <c r="Q143" s="9"/>
      <c r="R143" s="6" t="s">
        <v>562</v>
      </c>
      <c r="S143" s="6" t="s">
        <v>603</v>
      </c>
      <c r="T143" s="6" t="s">
        <v>666</v>
      </c>
    </row>
    <row r="144" spans="1:20" ht="15.75" x14ac:dyDescent="0.25">
      <c r="A144" s="6">
        <v>143</v>
      </c>
      <c r="B144" s="6" t="s">
        <v>599</v>
      </c>
      <c r="C144" s="8" t="s">
        <v>599</v>
      </c>
      <c r="D144" s="6" t="s">
        <v>667</v>
      </c>
      <c r="E144" s="6"/>
      <c r="F144" s="6"/>
      <c r="G144" s="6" t="s">
        <v>46</v>
      </c>
      <c r="H144" s="6" t="s">
        <v>105</v>
      </c>
      <c r="I144" s="6" t="str">
        <f>VLOOKUP(H144,'[1]All Kend Dari Team ACC'!kendaraan,2,FALSE)</f>
        <v>R4</v>
      </c>
      <c r="J144" s="6" t="s">
        <v>668</v>
      </c>
      <c r="K144" s="6" t="s">
        <v>669</v>
      </c>
      <c r="L144" s="6">
        <v>2010</v>
      </c>
      <c r="M144" s="6" t="s">
        <v>485</v>
      </c>
      <c r="N144" s="6" t="s">
        <v>485</v>
      </c>
      <c r="O144" s="6" t="s">
        <v>341</v>
      </c>
      <c r="P144" s="9" t="s">
        <v>599</v>
      </c>
      <c r="Q144" s="9"/>
      <c r="R144" s="6" t="s">
        <v>562</v>
      </c>
      <c r="S144" s="6" t="s">
        <v>670</v>
      </c>
      <c r="T144" s="6"/>
    </row>
    <row r="145" spans="1:20" ht="15.75" x14ac:dyDescent="0.25">
      <c r="A145" s="6">
        <v>144</v>
      </c>
      <c r="B145" s="10" t="s">
        <v>599</v>
      </c>
      <c r="C145" s="15" t="s">
        <v>316</v>
      </c>
      <c r="D145" s="10" t="s">
        <v>671</v>
      </c>
      <c r="E145" s="10"/>
      <c r="F145" s="10"/>
      <c r="G145" s="10" t="s">
        <v>46</v>
      </c>
      <c r="H145" s="10" t="s">
        <v>158</v>
      </c>
      <c r="I145" s="10" t="str">
        <f>VLOOKUP(H145,'[1]All Kend Dari Team ACC'!kendaraan,2,FALSE)</f>
        <v>R4</v>
      </c>
      <c r="J145" s="10" t="s">
        <v>672</v>
      </c>
      <c r="K145" s="10" t="s">
        <v>658</v>
      </c>
      <c r="L145" s="10"/>
      <c r="M145" s="10" t="s">
        <v>673</v>
      </c>
      <c r="N145" s="10" t="s">
        <v>141</v>
      </c>
      <c r="O145" s="10"/>
      <c r="P145" s="16"/>
      <c r="Q145" s="16"/>
      <c r="R145" s="10" t="s">
        <v>674</v>
      </c>
      <c r="S145" s="10"/>
      <c r="T145" s="10" t="s">
        <v>675</v>
      </c>
    </row>
    <row r="146" spans="1:20" ht="15.75" x14ac:dyDescent="0.25">
      <c r="A146" s="6">
        <v>145</v>
      </c>
      <c r="B146" s="6" t="s">
        <v>676</v>
      </c>
      <c r="C146" s="8"/>
      <c r="D146" s="6" t="s">
        <v>677</v>
      </c>
      <c r="E146" s="6"/>
      <c r="F146" s="6"/>
      <c r="G146" s="6" t="s">
        <v>366</v>
      </c>
      <c r="H146" s="6" t="s">
        <v>678</v>
      </c>
      <c r="I146" s="6" t="str">
        <f>VLOOKUP(H146,'[1]All Kend Dari Team ACC'!kendaraan,2,FALSE)</f>
        <v>R4</v>
      </c>
      <c r="J146" s="6" t="s">
        <v>679</v>
      </c>
      <c r="K146" s="6"/>
      <c r="L146" s="6"/>
      <c r="M146" s="6" t="s">
        <v>680</v>
      </c>
      <c r="N146" s="6" t="s">
        <v>680</v>
      </c>
      <c r="O146" s="6"/>
      <c r="P146" s="9"/>
      <c r="Q146" s="9"/>
      <c r="R146" s="6"/>
      <c r="S146" s="6"/>
      <c r="T146" s="6"/>
    </row>
    <row r="147" spans="1:20" ht="15.75" x14ac:dyDescent="0.25">
      <c r="A147" s="6">
        <v>146</v>
      </c>
      <c r="B147" s="6" t="s">
        <v>681</v>
      </c>
      <c r="C147" s="8" t="s">
        <v>269</v>
      </c>
      <c r="D147" s="6" t="s">
        <v>682</v>
      </c>
      <c r="E147" s="6"/>
      <c r="F147" s="6"/>
      <c r="G147" s="6" t="s">
        <v>25</v>
      </c>
      <c r="H147" s="6" t="s">
        <v>61</v>
      </c>
      <c r="I147" s="6" t="str">
        <f>VLOOKUP(H147,'[1]All Kend Dari Team ACC'!kendaraan,2,FALSE)</f>
        <v>R4</v>
      </c>
      <c r="J147" s="6" t="s">
        <v>683</v>
      </c>
      <c r="K147" s="6"/>
      <c r="L147" s="6"/>
      <c r="M147" s="6"/>
      <c r="N147" s="6"/>
      <c r="O147" s="6"/>
      <c r="P147" s="9" t="s">
        <v>620</v>
      </c>
      <c r="Q147" s="9"/>
      <c r="R147" s="6"/>
      <c r="S147" s="6"/>
      <c r="T147" s="6"/>
    </row>
    <row r="148" spans="1:20" ht="15.75" x14ac:dyDescent="0.25">
      <c r="A148" s="6">
        <v>147</v>
      </c>
      <c r="B148" s="6" t="s">
        <v>620</v>
      </c>
      <c r="C148" s="8" t="s">
        <v>620</v>
      </c>
      <c r="D148" s="6" t="s">
        <v>684</v>
      </c>
      <c r="E148" s="6"/>
      <c r="F148" s="6"/>
      <c r="G148" s="6" t="s">
        <v>685</v>
      </c>
      <c r="H148" s="6" t="s">
        <v>686</v>
      </c>
      <c r="I148" s="6" t="str">
        <f>VLOOKUP(H148,'[1]All Kend Dari Team ACC'!kendaraan,2,FALSE)</f>
        <v>R4</v>
      </c>
      <c r="J148" s="6" t="s">
        <v>687</v>
      </c>
      <c r="K148" s="6"/>
      <c r="L148" s="6">
        <v>2007</v>
      </c>
      <c r="M148" s="6"/>
      <c r="N148" s="6"/>
      <c r="O148" s="6"/>
      <c r="P148" s="9" t="s">
        <v>620</v>
      </c>
      <c r="Q148" s="9"/>
      <c r="R148" s="6"/>
      <c r="S148" s="6"/>
      <c r="T148" s="6"/>
    </row>
    <row r="149" spans="1:20" ht="15.75" x14ac:dyDescent="0.25">
      <c r="A149" s="6">
        <v>148</v>
      </c>
      <c r="B149" s="6" t="s">
        <v>620</v>
      </c>
      <c r="C149" s="8" t="s">
        <v>620</v>
      </c>
      <c r="D149" s="6" t="s">
        <v>688</v>
      </c>
      <c r="E149" s="6"/>
      <c r="F149" s="6"/>
      <c r="G149" s="6" t="s">
        <v>77</v>
      </c>
      <c r="H149" s="6" t="s">
        <v>131</v>
      </c>
      <c r="I149" s="6" t="e">
        <f>VLOOKUP(H149,'[1]All Kend Dari Team ACC'!kendaraan,2,FALSE)</f>
        <v>#N/A</v>
      </c>
      <c r="J149" s="6"/>
      <c r="K149" s="6"/>
      <c r="L149" s="6">
        <v>2022</v>
      </c>
      <c r="M149" s="6" t="s">
        <v>689</v>
      </c>
      <c r="N149" s="6" t="s">
        <v>649</v>
      </c>
      <c r="O149" s="6" t="s">
        <v>108</v>
      </c>
      <c r="P149" s="9" t="s">
        <v>620</v>
      </c>
      <c r="Q149" s="9"/>
      <c r="R149" s="6"/>
      <c r="S149" s="6"/>
      <c r="T149" s="6"/>
    </row>
    <row r="150" spans="1:20" ht="15.75" x14ac:dyDescent="0.25">
      <c r="A150" s="6">
        <v>149</v>
      </c>
      <c r="B150" s="10" t="s">
        <v>681</v>
      </c>
      <c r="C150" s="8" t="s">
        <v>269</v>
      </c>
      <c r="D150" s="10" t="s">
        <v>690</v>
      </c>
      <c r="E150" s="10"/>
      <c r="F150" s="10"/>
      <c r="G150" s="10" t="s">
        <v>51</v>
      </c>
      <c r="H150" s="10" t="s">
        <v>118</v>
      </c>
      <c r="I150" s="10" t="str">
        <f>VLOOKUP(H150,'[1]All Kend Dari Team ACC'!kendaraan,2,FALSE)</f>
        <v>R2</v>
      </c>
      <c r="J150" s="10" t="s">
        <v>691</v>
      </c>
      <c r="K150" s="10"/>
      <c r="L150" s="10"/>
      <c r="M150" s="10" t="s">
        <v>692</v>
      </c>
      <c r="N150" s="10" t="s">
        <v>693</v>
      </c>
      <c r="O150" s="10"/>
      <c r="P150" s="9"/>
      <c r="Q150" s="9"/>
      <c r="R150" s="10"/>
      <c r="S150" s="10"/>
      <c r="T150" s="10"/>
    </row>
    <row r="151" spans="1:20" ht="15.75" x14ac:dyDescent="0.25">
      <c r="A151" s="6">
        <v>150</v>
      </c>
      <c r="B151" s="6" t="s">
        <v>620</v>
      </c>
      <c r="C151" s="8" t="s">
        <v>620</v>
      </c>
      <c r="D151" s="6" t="s">
        <v>694</v>
      </c>
      <c r="E151" s="6"/>
      <c r="F151" s="6"/>
      <c r="G151" s="6" t="s">
        <v>46</v>
      </c>
      <c r="H151" s="6" t="s">
        <v>71</v>
      </c>
      <c r="I151" s="6" t="str">
        <f>VLOOKUP(H151,'[1]All Kend Dari Team ACC'!kendaraan,2,FALSE)</f>
        <v>R4</v>
      </c>
      <c r="J151" s="6" t="s">
        <v>695</v>
      </c>
      <c r="K151" s="6"/>
      <c r="L151" s="6">
        <v>2020</v>
      </c>
      <c r="M151" s="6" t="s">
        <v>696</v>
      </c>
      <c r="N151" s="6" t="s">
        <v>696</v>
      </c>
      <c r="O151" s="6" t="s">
        <v>108</v>
      </c>
      <c r="P151" s="9" t="s">
        <v>620</v>
      </c>
      <c r="Q151" s="9"/>
      <c r="R151" s="6"/>
      <c r="S151" s="6" t="s">
        <v>697</v>
      </c>
      <c r="T151" s="6"/>
    </row>
    <row r="152" spans="1:20" ht="15.75" x14ac:dyDescent="0.25">
      <c r="A152" s="6">
        <v>151</v>
      </c>
      <c r="B152" s="6" t="s">
        <v>620</v>
      </c>
      <c r="C152" s="8" t="s">
        <v>620</v>
      </c>
      <c r="D152" s="17" t="s">
        <v>698</v>
      </c>
      <c r="E152" s="17"/>
      <c r="F152" s="17"/>
      <c r="G152" s="6" t="s">
        <v>60</v>
      </c>
      <c r="H152" s="6" t="s">
        <v>61</v>
      </c>
      <c r="I152" s="6" t="str">
        <f>VLOOKUP(H152,'[1]All Kend Dari Team ACC'!kendaraan,2,FALSE)</f>
        <v>R4</v>
      </c>
      <c r="J152" s="6" t="s">
        <v>699</v>
      </c>
      <c r="K152" s="6"/>
      <c r="L152" s="6"/>
      <c r="M152" s="6" t="s">
        <v>621</v>
      </c>
      <c r="N152" s="6" t="s">
        <v>621</v>
      </c>
      <c r="O152" s="6"/>
      <c r="P152" s="9" t="s">
        <v>620</v>
      </c>
      <c r="Q152" s="9"/>
      <c r="R152" s="6"/>
      <c r="S152" s="6"/>
      <c r="T152" s="6"/>
    </row>
    <row r="153" spans="1:20" ht="15.75" x14ac:dyDescent="0.25">
      <c r="A153" s="6">
        <v>152</v>
      </c>
      <c r="B153" s="6" t="s">
        <v>620</v>
      </c>
      <c r="C153" s="8" t="s">
        <v>620</v>
      </c>
      <c r="D153" s="6" t="s">
        <v>700</v>
      </c>
      <c r="E153" s="6"/>
      <c r="F153" s="6"/>
      <c r="G153" s="6" t="s">
        <v>465</v>
      </c>
      <c r="H153" s="6" t="s">
        <v>701</v>
      </c>
      <c r="I153" s="6">
        <f>VLOOKUP(H153,'[1]All Kend Dari Team ACC'!kendaraan,2,FALSE)</f>
        <v>0</v>
      </c>
      <c r="J153" s="6" t="s">
        <v>702</v>
      </c>
      <c r="K153" s="6" t="s">
        <v>703</v>
      </c>
      <c r="L153" s="6"/>
      <c r="M153" s="6" t="s">
        <v>704</v>
      </c>
      <c r="N153" s="6" t="s">
        <v>705</v>
      </c>
      <c r="O153" s="6"/>
      <c r="P153" s="9" t="s">
        <v>706</v>
      </c>
      <c r="Q153" s="9"/>
      <c r="R153" s="6"/>
      <c r="S153" s="6"/>
      <c r="T153" s="6"/>
    </row>
    <row r="154" spans="1:20" ht="15.75" x14ac:dyDescent="0.25">
      <c r="A154" s="6">
        <v>153</v>
      </c>
      <c r="B154" s="18" t="s">
        <v>620</v>
      </c>
      <c r="C154" s="8" t="s">
        <v>707</v>
      </c>
      <c r="D154" s="18" t="s">
        <v>700</v>
      </c>
      <c r="E154" s="18"/>
      <c r="F154" s="18"/>
      <c r="G154" s="18" t="s">
        <v>465</v>
      </c>
      <c r="H154" s="18" t="s">
        <v>701</v>
      </c>
      <c r="I154" s="6">
        <f>VLOOKUP(H154,'[1]All Kend Dari Team ACC'!kendaraan,2,FALSE)</f>
        <v>0</v>
      </c>
      <c r="J154" s="18" t="s">
        <v>708</v>
      </c>
      <c r="K154" s="18" t="s">
        <v>471</v>
      </c>
      <c r="L154" s="18"/>
      <c r="M154" s="18" t="s">
        <v>709</v>
      </c>
      <c r="N154" s="18" t="s">
        <v>710</v>
      </c>
      <c r="O154" s="18"/>
      <c r="P154" s="8" t="s">
        <v>707</v>
      </c>
      <c r="Q154" s="19"/>
      <c r="R154" s="18"/>
      <c r="S154" s="18"/>
      <c r="T154" s="18" t="s">
        <v>711</v>
      </c>
    </row>
    <row r="155" spans="1:20" ht="15.75" x14ac:dyDescent="0.25">
      <c r="A155" s="6">
        <v>154</v>
      </c>
      <c r="B155" s="6" t="s">
        <v>620</v>
      </c>
      <c r="C155" s="8" t="s">
        <v>620</v>
      </c>
      <c r="D155" s="6" t="s">
        <v>712</v>
      </c>
      <c r="E155" s="6"/>
      <c r="F155" s="6"/>
      <c r="G155" s="6" t="s">
        <v>22</v>
      </c>
      <c r="H155" s="6" t="s">
        <v>483</v>
      </c>
      <c r="I155" s="6">
        <f>VLOOKUP(H155,'[1]All Kend Dari Team ACC'!kendaraan,2,FALSE)</f>
        <v>0</v>
      </c>
      <c r="J155" s="6" t="s">
        <v>713</v>
      </c>
      <c r="K155" s="6"/>
      <c r="L155" s="6">
        <v>2022</v>
      </c>
      <c r="M155" s="6" t="s">
        <v>256</v>
      </c>
      <c r="N155" s="6" t="s">
        <v>256</v>
      </c>
      <c r="O155" s="6" t="s">
        <v>341</v>
      </c>
      <c r="P155" s="9" t="s">
        <v>620</v>
      </c>
      <c r="Q155" s="9"/>
      <c r="R155" s="6"/>
      <c r="S155" s="6"/>
      <c r="T155" s="6"/>
    </row>
    <row r="156" spans="1:20" ht="15.75" x14ac:dyDescent="0.25">
      <c r="A156" s="6">
        <v>155</v>
      </c>
      <c r="B156" s="6" t="s">
        <v>620</v>
      </c>
      <c r="C156" s="8" t="s">
        <v>620</v>
      </c>
      <c r="D156" s="6" t="s">
        <v>714</v>
      </c>
      <c r="E156" s="6"/>
      <c r="F156" s="6"/>
      <c r="G156" s="6" t="s">
        <v>22</v>
      </c>
      <c r="H156" s="6" t="s">
        <v>483</v>
      </c>
      <c r="I156" s="6">
        <f>VLOOKUP(H156,'[1]All Kend Dari Team ACC'!kendaraan,2,FALSE)</f>
        <v>0</v>
      </c>
      <c r="J156" s="6" t="s">
        <v>715</v>
      </c>
      <c r="K156" s="6"/>
      <c r="L156" s="6">
        <v>2013</v>
      </c>
      <c r="M156" s="6" t="s">
        <v>716</v>
      </c>
      <c r="N156" s="6" t="s">
        <v>716</v>
      </c>
      <c r="O156" s="6" t="s">
        <v>341</v>
      </c>
      <c r="P156" s="9" t="s">
        <v>620</v>
      </c>
      <c r="Q156" s="9"/>
      <c r="R156" s="6"/>
      <c r="S156" s="6"/>
      <c r="T156" s="6" t="s">
        <v>284</v>
      </c>
    </row>
    <row r="157" spans="1:20" ht="15.75" x14ac:dyDescent="0.25">
      <c r="A157" s="6">
        <v>156</v>
      </c>
      <c r="B157" s="6" t="s">
        <v>620</v>
      </c>
      <c r="C157" s="8" t="s">
        <v>620</v>
      </c>
      <c r="D157" s="6" t="s">
        <v>717</v>
      </c>
      <c r="E157" s="6"/>
      <c r="F157" s="6"/>
      <c r="G157" s="6" t="s">
        <v>366</v>
      </c>
      <c r="H157" s="6" t="s">
        <v>718</v>
      </c>
      <c r="I157" s="6" t="e">
        <f>VLOOKUP(H157,'[1]All Kend Dari Team ACC'!kendaraan,2,FALSE)</f>
        <v>#N/A</v>
      </c>
      <c r="J157" s="6" t="s">
        <v>719</v>
      </c>
      <c r="K157" s="6"/>
      <c r="L157" s="6">
        <v>2019</v>
      </c>
      <c r="M157" s="6" t="s">
        <v>256</v>
      </c>
      <c r="N157" s="6" t="s">
        <v>256</v>
      </c>
      <c r="O157" s="6" t="s">
        <v>341</v>
      </c>
      <c r="P157" s="9" t="s">
        <v>620</v>
      </c>
      <c r="Q157" s="9"/>
      <c r="R157" s="6"/>
      <c r="S157" s="6"/>
      <c r="T157" s="6"/>
    </row>
    <row r="158" spans="1:20" ht="15.75" x14ac:dyDescent="0.25">
      <c r="A158" s="6">
        <v>157</v>
      </c>
      <c r="B158" s="6" t="s">
        <v>620</v>
      </c>
      <c r="C158" s="8" t="s">
        <v>620</v>
      </c>
      <c r="D158" s="6" t="s">
        <v>720</v>
      </c>
      <c r="E158" s="6"/>
      <c r="F158" s="6"/>
      <c r="G158" s="6" t="s">
        <v>366</v>
      </c>
      <c r="H158" s="6" t="s">
        <v>721</v>
      </c>
      <c r="I158" s="6" t="str">
        <f>VLOOKUP(H158,'[1]All Kend Dari Team ACC'!kendaraan,2,FALSE)</f>
        <v>R4</v>
      </c>
      <c r="J158" s="6" t="s">
        <v>722</v>
      </c>
      <c r="K158" s="6" t="s">
        <v>723</v>
      </c>
      <c r="L158" s="6">
        <v>2016</v>
      </c>
      <c r="M158" s="6" t="s">
        <v>256</v>
      </c>
      <c r="N158" s="6" t="s">
        <v>256</v>
      </c>
      <c r="O158" s="6" t="s">
        <v>341</v>
      </c>
      <c r="P158" s="9" t="s">
        <v>620</v>
      </c>
      <c r="Q158" s="9"/>
      <c r="R158" s="6"/>
      <c r="S158" s="6"/>
      <c r="T158" s="6"/>
    </row>
    <row r="159" spans="1:20" ht="15.75" x14ac:dyDescent="0.25">
      <c r="A159" s="6">
        <v>158</v>
      </c>
      <c r="B159" s="6" t="s">
        <v>620</v>
      </c>
      <c r="C159" s="8" t="s">
        <v>620</v>
      </c>
      <c r="D159" s="6" t="s">
        <v>724</v>
      </c>
      <c r="E159" s="6"/>
      <c r="F159" s="6"/>
      <c r="G159" s="6" t="s">
        <v>571</v>
      </c>
      <c r="H159" s="6">
        <v>5008</v>
      </c>
      <c r="I159" s="6" t="str">
        <f>VLOOKUP(H159,'[1]All Kend Dari Team ACC'!kendaraan,2,FALSE)</f>
        <v>R4</v>
      </c>
      <c r="J159" s="6" t="s">
        <v>725</v>
      </c>
      <c r="K159" s="6"/>
      <c r="L159" s="6">
        <v>2020</v>
      </c>
      <c r="M159" s="6" t="s">
        <v>726</v>
      </c>
      <c r="N159" s="6" t="s">
        <v>726</v>
      </c>
      <c r="O159" s="6" t="s">
        <v>108</v>
      </c>
      <c r="P159" s="9" t="s">
        <v>620</v>
      </c>
      <c r="Q159" s="9"/>
      <c r="R159" s="6"/>
      <c r="S159" s="6" t="s">
        <v>697</v>
      </c>
      <c r="T159" s="6"/>
    </row>
    <row r="160" spans="1:20" ht="15.75" x14ac:dyDescent="0.25">
      <c r="A160" s="6">
        <v>159</v>
      </c>
      <c r="B160" s="6" t="s">
        <v>620</v>
      </c>
      <c r="C160" s="8" t="s">
        <v>620</v>
      </c>
      <c r="D160" s="6" t="s">
        <v>727</v>
      </c>
      <c r="E160" s="6"/>
      <c r="F160" s="6"/>
      <c r="G160" s="6" t="s">
        <v>51</v>
      </c>
      <c r="H160" s="6" t="s">
        <v>728</v>
      </c>
      <c r="I160" s="6" t="e">
        <f>VLOOKUP(H160,'[1]All Kend Dari Team ACC'!kendaraan,2,FALSE)</f>
        <v>#N/A</v>
      </c>
      <c r="J160" s="6" t="s">
        <v>729</v>
      </c>
      <c r="K160" s="6"/>
      <c r="L160" s="6">
        <v>2021</v>
      </c>
      <c r="M160" s="6" t="s">
        <v>730</v>
      </c>
      <c r="N160" s="6" t="s">
        <v>649</v>
      </c>
      <c r="O160" s="6"/>
      <c r="P160" s="9" t="s">
        <v>620</v>
      </c>
      <c r="Q160" s="9"/>
      <c r="R160" s="6" t="s">
        <v>731</v>
      </c>
      <c r="S160" s="6" t="s">
        <v>732</v>
      </c>
      <c r="T160" s="6"/>
    </row>
    <row r="161" spans="1:20" ht="15.75" x14ac:dyDescent="0.25">
      <c r="A161" s="6">
        <v>160</v>
      </c>
      <c r="B161" s="6" t="s">
        <v>620</v>
      </c>
      <c r="C161" s="8" t="s">
        <v>620</v>
      </c>
      <c r="D161" s="6" t="s">
        <v>733</v>
      </c>
      <c r="E161" s="6"/>
      <c r="F161" s="6"/>
      <c r="G161" s="6" t="s">
        <v>46</v>
      </c>
      <c r="H161" s="6" t="s">
        <v>734</v>
      </c>
      <c r="I161" s="6" t="e">
        <f>VLOOKUP(H161,'[1]All Kend Dari Team ACC'!kendaraan,2,FALSE)</f>
        <v>#N/A</v>
      </c>
      <c r="J161" s="6" t="s">
        <v>735</v>
      </c>
      <c r="K161" s="6"/>
      <c r="L161" s="6">
        <v>2013</v>
      </c>
      <c r="M161" s="6" t="s">
        <v>736</v>
      </c>
      <c r="N161" s="6" t="s">
        <v>737</v>
      </c>
      <c r="O161" s="6" t="s">
        <v>341</v>
      </c>
      <c r="P161" s="9" t="s">
        <v>620</v>
      </c>
      <c r="Q161" s="9"/>
      <c r="R161" s="6"/>
      <c r="S161" s="6"/>
      <c r="T161" s="6"/>
    </row>
    <row r="162" spans="1:20" ht="15.75" x14ac:dyDescent="0.25">
      <c r="A162" s="6">
        <v>161</v>
      </c>
      <c r="B162" s="6" t="s">
        <v>33</v>
      </c>
      <c r="C162" s="8" t="s">
        <v>33</v>
      </c>
      <c r="D162" s="6" t="s">
        <v>738</v>
      </c>
      <c r="E162" s="6"/>
      <c r="F162" s="6"/>
      <c r="G162" s="6" t="s">
        <v>77</v>
      </c>
      <c r="H162" s="6" t="s">
        <v>131</v>
      </c>
      <c r="I162" s="6" t="e">
        <f>VLOOKUP(H162,'[1]All Kend Dari Team ACC'!kendaraan,2,FALSE)</f>
        <v>#N/A</v>
      </c>
      <c r="J162" s="6" t="s">
        <v>739</v>
      </c>
      <c r="K162" s="6"/>
      <c r="L162" s="6">
        <v>2018</v>
      </c>
      <c r="M162" s="6" t="s">
        <v>740</v>
      </c>
      <c r="N162" s="6" t="s">
        <v>741</v>
      </c>
      <c r="O162" s="6" t="s">
        <v>354</v>
      </c>
      <c r="P162" s="9" t="s">
        <v>33</v>
      </c>
      <c r="Q162" s="9"/>
      <c r="R162" s="6" t="s">
        <v>742</v>
      </c>
      <c r="S162" s="6" t="s">
        <v>32</v>
      </c>
      <c r="T162" s="6"/>
    </row>
    <row r="163" spans="1:20" ht="15.75" x14ac:dyDescent="0.25">
      <c r="A163" s="6">
        <v>162</v>
      </c>
      <c r="B163" s="6" t="s">
        <v>33</v>
      </c>
      <c r="C163" s="8" t="s">
        <v>33</v>
      </c>
      <c r="D163" s="6" t="s">
        <v>743</v>
      </c>
      <c r="E163" s="6"/>
      <c r="F163" s="6"/>
      <c r="G163" s="6" t="s">
        <v>51</v>
      </c>
      <c r="H163" s="6" t="s">
        <v>744</v>
      </c>
      <c r="I163" s="6" t="str">
        <f>VLOOKUP(H163,'[1]All Kend Dari Team ACC'!kendaraan,2,FALSE)</f>
        <v>R4</v>
      </c>
      <c r="J163" s="6" t="s">
        <v>745</v>
      </c>
      <c r="K163" s="6"/>
      <c r="L163" s="6">
        <v>2021</v>
      </c>
      <c r="M163" s="6" t="s">
        <v>746</v>
      </c>
      <c r="N163" s="6" t="s">
        <v>746</v>
      </c>
      <c r="O163" s="6" t="s">
        <v>341</v>
      </c>
      <c r="P163" s="9" t="s">
        <v>33</v>
      </c>
      <c r="Q163" s="9"/>
      <c r="R163" s="6" t="s">
        <v>747</v>
      </c>
      <c r="S163" s="6"/>
      <c r="T163" s="6" t="s">
        <v>748</v>
      </c>
    </row>
    <row r="164" spans="1:20" ht="15.75" x14ac:dyDescent="0.25">
      <c r="A164" s="6">
        <v>163</v>
      </c>
      <c r="B164" s="6" t="s">
        <v>33</v>
      </c>
      <c r="C164" s="8" t="s">
        <v>33</v>
      </c>
      <c r="D164" s="6" t="s">
        <v>749</v>
      </c>
      <c r="E164" s="6"/>
      <c r="F164" s="6"/>
      <c r="G164" s="6" t="s">
        <v>46</v>
      </c>
      <c r="H164" s="6" t="s">
        <v>71</v>
      </c>
      <c r="I164" s="6" t="str">
        <f>VLOOKUP(H164,'[1]All Kend Dari Team ACC'!kendaraan,2,FALSE)</f>
        <v>R4</v>
      </c>
      <c r="J164" s="6" t="s">
        <v>750</v>
      </c>
      <c r="K164" s="6"/>
      <c r="L164" s="6">
        <v>2020</v>
      </c>
      <c r="M164" s="6" t="s">
        <v>751</v>
      </c>
      <c r="N164" s="6" t="s">
        <v>752</v>
      </c>
      <c r="O164" s="6" t="s">
        <v>108</v>
      </c>
      <c r="P164" s="9" t="s">
        <v>33</v>
      </c>
      <c r="Q164" s="9"/>
      <c r="R164" s="6" t="s">
        <v>747</v>
      </c>
      <c r="S164" s="6"/>
      <c r="T164" s="6"/>
    </row>
    <row r="165" spans="1:20" ht="15.75" x14ac:dyDescent="0.25">
      <c r="A165" s="6">
        <v>164</v>
      </c>
      <c r="B165" s="6" t="s">
        <v>33</v>
      </c>
      <c r="C165" s="8" t="s">
        <v>33</v>
      </c>
      <c r="D165" s="6" t="s">
        <v>753</v>
      </c>
      <c r="E165" s="6"/>
      <c r="F165" s="6"/>
      <c r="G165" s="6" t="s">
        <v>46</v>
      </c>
      <c r="H165" s="6" t="s">
        <v>71</v>
      </c>
      <c r="I165" s="6" t="str">
        <f>VLOOKUP(H165,'[1]All Kend Dari Team ACC'!kendaraan,2,FALSE)</f>
        <v>R4</v>
      </c>
      <c r="J165" s="6" t="s">
        <v>754</v>
      </c>
      <c r="K165" s="6" t="s">
        <v>755</v>
      </c>
      <c r="L165" s="6">
        <v>2017</v>
      </c>
      <c r="M165" s="6" t="s">
        <v>283</v>
      </c>
      <c r="N165" s="6" t="s">
        <v>283</v>
      </c>
      <c r="O165" s="6" t="s">
        <v>341</v>
      </c>
      <c r="P165" s="9" t="s">
        <v>33</v>
      </c>
      <c r="Q165" s="9"/>
      <c r="R165" s="6"/>
      <c r="S165" s="6"/>
      <c r="T165" s="6" t="s">
        <v>756</v>
      </c>
    </row>
    <row r="166" spans="1:20" ht="15.75" x14ac:dyDescent="0.25">
      <c r="A166" s="6">
        <v>165</v>
      </c>
      <c r="B166" s="6" t="s">
        <v>33</v>
      </c>
      <c r="C166" s="8" t="s">
        <v>33</v>
      </c>
      <c r="D166" s="6" t="s">
        <v>757</v>
      </c>
      <c r="E166" s="6"/>
      <c r="F166" s="6"/>
      <c r="G166" s="6" t="s">
        <v>46</v>
      </c>
      <c r="H166" s="6" t="s">
        <v>71</v>
      </c>
      <c r="I166" s="6" t="str">
        <f>VLOOKUP(H166,'[1]All Kend Dari Team ACC'!kendaraan,2,FALSE)</f>
        <v>R4</v>
      </c>
      <c r="J166" s="6" t="s">
        <v>758</v>
      </c>
      <c r="K166" s="6" t="s">
        <v>759</v>
      </c>
      <c r="L166" s="6">
        <v>2017</v>
      </c>
      <c r="M166" s="6" t="s">
        <v>760</v>
      </c>
      <c r="N166" s="6" t="s">
        <v>761</v>
      </c>
      <c r="O166" s="6" t="s">
        <v>108</v>
      </c>
      <c r="P166" s="9" t="s">
        <v>33</v>
      </c>
      <c r="Q166" s="9"/>
      <c r="R166" s="6"/>
      <c r="S166" s="6" t="s">
        <v>732</v>
      </c>
      <c r="T166" s="6"/>
    </row>
    <row r="167" spans="1:20" ht="15.75" x14ac:dyDescent="0.25">
      <c r="A167" s="6">
        <v>166</v>
      </c>
      <c r="B167" s="6" t="s">
        <v>33</v>
      </c>
      <c r="C167" s="8" t="s">
        <v>33</v>
      </c>
      <c r="D167" s="6" t="s">
        <v>762</v>
      </c>
      <c r="E167" s="6"/>
      <c r="F167" s="6"/>
      <c r="G167" s="6" t="s">
        <v>46</v>
      </c>
      <c r="H167" s="6" t="s">
        <v>105</v>
      </c>
      <c r="I167" s="6" t="str">
        <f>VLOOKUP(H167,'[1]All Kend Dari Team ACC'!kendaraan,2,FALSE)</f>
        <v>R4</v>
      </c>
      <c r="J167" s="6" t="s">
        <v>763</v>
      </c>
      <c r="K167" s="6" t="s">
        <v>764</v>
      </c>
      <c r="L167" s="6">
        <v>2016</v>
      </c>
      <c r="M167" s="6" t="s">
        <v>765</v>
      </c>
      <c r="N167" s="6" t="s">
        <v>765</v>
      </c>
      <c r="O167" s="6" t="s">
        <v>341</v>
      </c>
      <c r="P167" s="9" t="s">
        <v>33</v>
      </c>
      <c r="Q167" s="9"/>
      <c r="R167" s="6"/>
      <c r="S167" s="6" t="s">
        <v>766</v>
      </c>
      <c r="T167" s="6"/>
    </row>
    <row r="168" spans="1:20" ht="15.75" x14ac:dyDescent="0.25">
      <c r="A168" s="6">
        <v>167</v>
      </c>
      <c r="B168" s="6" t="s">
        <v>33</v>
      </c>
      <c r="C168" s="8" t="s">
        <v>33</v>
      </c>
      <c r="D168" s="6" t="s">
        <v>767</v>
      </c>
      <c r="E168" s="6"/>
      <c r="F168" s="6"/>
      <c r="G168" s="6" t="s">
        <v>46</v>
      </c>
      <c r="H168" s="6" t="s">
        <v>105</v>
      </c>
      <c r="I168" s="6" t="str">
        <f>VLOOKUP(H168,'[1]All Kend Dari Team ACC'!kendaraan,2,FALSE)</f>
        <v>R4</v>
      </c>
      <c r="J168" s="10" t="s">
        <v>768</v>
      </c>
      <c r="K168" s="10" t="s">
        <v>769</v>
      </c>
      <c r="L168" s="6">
        <v>2012</v>
      </c>
      <c r="M168" s="6" t="s">
        <v>770</v>
      </c>
      <c r="N168" s="6" t="s">
        <v>771</v>
      </c>
      <c r="O168" s="6" t="s">
        <v>108</v>
      </c>
      <c r="P168" s="9" t="s">
        <v>141</v>
      </c>
      <c r="Q168" s="9" t="s">
        <v>141</v>
      </c>
      <c r="R168" s="6" t="s">
        <v>562</v>
      </c>
      <c r="S168" s="6" t="s">
        <v>772</v>
      </c>
      <c r="T168" s="6" t="s">
        <v>773</v>
      </c>
    </row>
    <row r="169" spans="1:20" ht="15.75" x14ac:dyDescent="0.25">
      <c r="A169" s="6">
        <v>168</v>
      </c>
      <c r="B169" s="6" t="s">
        <v>33</v>
      </c>
      <c r="C169" s="8" t="s">
        <v>33</v>
      </c>
      <c r="D169" s="6" t="s">
        <v>774</v>
      </c>
      <c r="E169" s="6"/>
      <c r="F169" s="6"/>
      <c r="G169" s="6" t="s">
        <v>46</v>
      </c>
      <c r="H169" s="6" t="s">
        <v>105</v>
      </c>
      <c r="I169" s="6" t="str">
        <f>VLOOKUP(H169,'[1]All Kend Dari Team ACC'!kendaraan,2,FALSE)</f>
        <v>R4</v>
      </c>
      <c r="J169" s="6" t="s">
        <v>775</v>
      </c>
      <c r="K169" s="6"/>
      <c r="L169" s="6">
        <v>2018</v>
      </c>
      <c r="M169" s="6" t="s">
        <v>776</v>
      </c>
      <c r="N169" s="6" t="s">
        <v>777</v>
      </c>
      <c r="O169" s="6" t="s">
        <v>108</v>
      </c>
      <c r="P169" s="9" t="s">
        <v>33</v>
      </c>
      <c r="Q169" s="9"/>
      <c r="R169" s="6"/>
      <c r="S169" s="6" t="s">
        <v>32</v>
      </c>
      <c r="T169" s="6"/>
    </row>
    <row r="170" spans="1:20" ht="15.75" x14ac:dyDescent="0.25">
      <c r="A170" s="6">
        <v>169</v>
      </c>
      <c r="B170" s="6" t="s">
        <v>33</v>
      </c>
      <c r="C170" s="8" t="s">
        <v>33</v>
      </c>
      <c r="D170" s="6" t="s">
        <v>778</v>
      </c>
      <c r="E170" s="6"/>
      <c r="F170" s="6"/>
      <c r="G170" s="6" t="s">
        <v>22</v>
      </c>
      <c r="H170" s="6" t="s">
        <v>483</v>
      </c>
      <c r="I170" s="6">
        <f>VLOOKUP(H170,'[1]All Kend Dari Team ACC'!kendaraan,2,FALSE)</f>
        <v>0</v>
      </c>
      <c r="J170" s="6" t="s">
        <v>779</v>
      </c>
      <c r="K170" s="6" t="s">
        <v>780</v>
      </c>
      <c r="L170" s="6">
        <v>2010</v>
      </c>
      <c r="M170" s="6" t="s">
        <v>574</v>
      </c>
      <c r="N170" s="6" t="s">
        <v>574</v>
      </c>
      <c r="O170" s="6" t="s">
        <v>341</v>
      </c>
      <c r="P170" s="9" t="s">
        <v>33</v>
      </c>
      <c r="Q170" s="9"/>
      <c r="R170" s="6"/>
      <c r="S170" s="6"/>
      <c r="T170" s="11" t="s">
        <v>781</v>
      </c>
    </row>
    <row r="171" spans="1:20" ht="15.75" x14ac:dyDescent="0.25">
      <c r="A171" s="6">
        <v>170</v>
      </c>
      <c r="B171" s="6" t="s">
        <v>33</v>
      </c>
      <c r="C171" s="8" t="s">
        <v>33</v>
      </c>
      <c r="D171" s="6" t="s">
        <v>782</v>
      </c>
      <c r="E171" s="6"/>
      <c r="F171" s="6"/>
      <c r="G171" s="6" t="s">
        <v>60</v>
      </c>
      <c r="H171" s="6" t="s">
        <v>224</v>
      </c>
      <c r="I171" s="6" t="str">
        <f>VLOOKUP(H171,'[1]All Kend Dari Team ACC'!kendaraan,2,FALSE)</f>
        <v>R4</v>
      </c>
      <c r="J171" s="6" t="s">
        <v>783</v>
      </c>
      <c r="K171" s="6"/>
      <c r="L171" s="6">
        <v>2018</v>
      </c>
      <c r="M171" s="6" t="s">
        <v>446</v>
      </c>
      <c r="N171" s="6" t="s">
        <v>446</v>
      </c>
      <c r="O171" s="6" t="s">
        <v>341</v>
      </c>
      <c r="P171" s="9" t="s">
        <v>33</v>
      </c>
      <c r="Q171" s="9"/>
      <c r="R171" s="6"/>
      <c r="S171" s="6"/>
      <c r="T171" s="6" t="s">
        <v>784</v>
      </c>
    </row>
    <row r="172" spans="1:20" ht="15.75" x14ac:dyDescent="0.25">
      <c r="A172" s="6">
        <v>171</v>
      </c>
      <c r="B172" s="6" t="s">
        <v>33</v>
      </c>
      <c r="C172" s="8" t="s">
        <v>33</v>
      </c>
      <c r="D172" s="6" t="s">
        <v>785</v>
      </c>
      <c r="E172" s="6"/>
      <c r="F172" s="6"/>
      <c r="G172" s="6" t="s">
        <v>51</v>
      </c>
      <c r="H172" s="6" t="s">
        <v>577</v>
      </c>
      <c r="I172" s="6" t="str">
        <f>VLOOKUP(H172,'[1]All Kend Dari Team ACC'!kendaraan,2,FALSE)</f>
        <v>R2</v>
      </c>
      <c r="J172" s="6" t="s">
        <v>786</v>
      </c>
      <c r="K172" s="6"/>
      <c r="L172" s="6">
        <v>2021</v>
      </c>
      <c r="M172" s="6" t="s">
        <v>787</v>
      </c>
      <c r="N172" s="6" t="s">
        <v>587</v>
      </c>
      <c r="O172" s="6" t="s">
        <v>354</v>
      </c>
      <c r="P172" s="9"/>
      <c r="Q172" s="9"/>
      <c r="R172" s="6" t="s">
        <v>788</v>
      </c>
      <c r="S172" s="6" t="s">
        <v>32</v>
      </c>
      <c r="T172" s="6"/>
    </row>
    <row r="173" spans="1:20" ht="15.75" x14ac:dyDescent="0.25">
      <c r="A173" s="6">
        <v>172</v>
      </c>
      <c r="B173" s="6" t="s">
        <v>33</v>
      </c>
      <c r="C173" s="8" t="s">
        <v>33</v>
      </c>
      <c r="D173" s="6" t="s">
        <v>789</v>
      </c>
      <c r="E173" s="6"/>
      <c r="F173" s="6"/>
      <c r="G173" s="6" t="s">
        <v>46</v>
      </c>
      <c r="H173" s="6" t="s">
        <v>105</v>
      </c>
      <c r="I173" s="6" t="str">
        <f>VLOOKUP(H173,'[1]All Kend Dari Team ACC'!kendaraan,2,FALSE)</f>
        <v>R4</v>
      </c>
      <c r="J173" s="6" t="s">
        <v>790</v>
      </c>
      <c r="K173" s="6" t="s">
        <v>791</v>
      </c>
      <c r="L173" s="6">
        <v>2010</v>
      </c>
      <c r="M173" s="6" t="s">
        <v>792</v>
      </c>
      <c r="N173" s="6" t="s">
        <v>793</v>
      </c>
      <c r="O173" s="6" t="s">
        <v>371</v>
      </c>
      <c r="P173" s="9" t="s">
        <v>33</v>
      </c>
      <c r="Q173" s="9"/>
      <c r="R173" s="6"/>
      <c r="S173" s="6"/>
      <c r="T173" s="6"/>
    </row>
    <row r="174" spans="1:20" ht="15.75" x14ac:dyDescent="0.25">
      <c r="A174" s="6">
        <v>173</v>
      </c>
      <c r="B174" s="6" t="s">
        <v>794</v>
      </c>
      <c r="C174" s="10" t="s">
        <v>795</v>
      </c>
      <c r="D174" s="6" t="s">
        <v>796</v>
      </c>
      <c r="E174" s="6"/>
      <c r="F174" s="6"/>
      <c r="G174" s="6" t="s">
        <v>22</v>
      </c>
      <c r="H174" s="6" t="s">
        <v>483</v>
      </c>
      <c r="I174" s="6">
        <f>VLOOKUP(H174,'[1]All Kend Dari Team ACC'!kendaraan,2,FALSE)</f>
        <v>0</v>
      </c>
      <c r="J174" s="6" t="s">
        <v>797</v>
      </c>
      <c r="K174" s="6" t="s">
        <v>798</v>
      </c>
      <c r="L174" s="6"/>
      <c r="M174" s="6" t="s">
        <v>799</v>
      </c>
      <c r="N174" s="6" t="s">
        <v>799</v>
      </c>
      <c r="O174" s="6"/>
      <c r="P174" s="9"/>
      <c r="Q174" s="9"/>
      <c r="R174" s="6"/>
      <c r="S174" s="6"/>
      <c r="T174" s="6" t="s">
        <v>800</v>
      </c>
    </row>
    <row r="175" spans="1:20" ht="15.75" x14ac:dyDescent="0.25">
      <c r="A175" s="6">
        <v>174</v>
      </c>
      <c r="B175" s="6" t="s">
        <v>141</v>
      </c>
      <c r="C175" s="8" t="s">
        <v>141</v>
      </c>
      <c r="D175" s="6" t="s">
        <v>801</v>
      </c>
      <c r="E175" s="6"/>
      <c r="F175" s="6"/>
      <c r="G175" s="6" t="s">
        <v>77</v>
      </c>
      <c r="H175" s="6" t="s">
        <v>131</v>
      </c>
      <c r="I175" s="6" t="e">
        <f>VLOOKUP(H175,'[1]All Kend Dari Team ACC'!kendaraan,2,FALSE)</f>
        <v>#N/A</v>
      </c>
      <c r="J175" s="6" t="s">
        <v>802</v>
      </c>
      <c r="K175" s="6"/>
      <c r="L175" s="6">
        <v>43883</v>
      </c>
      <c r="M175" s="6" t="s">
        <v>803</v>
      </c>
      <c r="N175" s="6" t="s">
        <v>804</v>
      </c>
      <c r="O175" s="6" t="s">
        <v>82</v>
      </c>
      <c r="P175" s="9" t="s">
        <v>141</v>
      </c>
      <c r="Q175" s="9" t="s">
        <v>141</v>
      </c>
      <c r="R175" s="6"/>
      <c r="S175" s="6" t="s">
        <v>805</v>
      </c>
      <c r="T175" s="6"/>
    </row>
    <row r="176" spans="1:20" ht="15.75" x14ac:dyDescent="0.25">
      <c r="A176" s="6">
        <v>175</v>
      </c>
      <c r="B176" s="6" t="s">
        <v>141</v>
      </c>
      <c r="C176" s="8" t="s">
        <v>141</v>
      </c>
      <c r="D176" s="6" t="s">
        <v>801</v>
      </c>
      <c r="E176" s="6"/>
      <c r="F176" s="6"/>
      <c r="G176" s="6" t="s">
        <v>77</v>
      </c>
      <c r="H176" s="6" t="s">
        <v>131</v>
      </c>
      <c r="I176" s="6" t="e">
        <f>VLOOKUP(H176,'[1]All Kend Dari Team ACC'!kendaraan,2,FALSE)</f>
        <v>#N/A</v>
      </c>
      <c r="J176" s="6" t="s">
        <v>806</v>
      </c>
      <c r="K176" s="6"/>
      <c r="L176" s="6">
        <v>43684</v>
      </c>
      <c r="M176" s="6" t="s">
        <v>807</v>
      </c>
      <c r="N176" s="6" t="s">
        <v>808</v>
      </c>
      <c r="O176" s="6" t="s">
        <v>82</v>
      </c>
      <c r="P176" s="9" t="s">
        <v>141</v>
      </c>
      <c r="Q176" s="9" t="s">
        <v>141</v>
      </c>
      <c r="R176" s="6"/>
      <c r="S176" s="6" t="s">
        <v>809</v>
      </c>
      <c r="T176" s="6" t="s">
        <v>810</v>
      </c>
    </row>
    <row r="177" spans="1:20" ht="15.75" x14ac:dyDescent="0.25">
      <c r="A177" s="6">
        <v>176</v>
      </c>
      <c r="B177" s="6" t="s">
        <v>141</v>
      </c>
      <c r="C177" s="8" t="s">
        <v>141</v>
      </c>
      <c r="D177" s="6" t="s">
        <v>801</v>
      </c>
      <c r="E177" s="6"/>
      <c r="F177" s="6"/>
      <c r="G177" s="6" t="s">
        <v>77</v>
      </c>
      <c r="H177" s="6" t="s">
        <v>131</v>
      </c>
      <c r="I177" s="6" t="e">
        <f>VLOOKUP(H177,'[1]All Kend Dari Team ACC'!kendaraan,2,FALSE)</f>
        <v>#N/A</v>
      </c>
      <c r="J177" s="6" t="s">
        <v>811</v>
      </c>
      <c r="K177" s="6"/>
      <c r="L177" s="6">
        <v>44298</v>
      </c>
      <c r="M177" s="6" t="s">
        <v>812</v>
      </c>
      <c r="N177" s="6" t="s">
        <v>813</v>
      </c>
      <c r="O177" s="6" t="s">
        <v>82</v>
      </c>
      <c r="P177" s="9" t="s">
        <v>141</v>
      </c>
      <c r="Q177" s="9" t="s">
        <v>141</v>
      </c>
      <c r="R177" s="6"/>
      <c r="S177" s="6" t="s">
        <v>814</v>
      </c>
      <c r="T177" s="6"/>
    </row>
    <row r="178" spans="1:20" ht="15.75" x14ac:dyDescent="0.25">
      <c r="A178" s="6">
        <v>177</v>
      </c>
      <c r="B178" s="6" t="s">
        <v>141</v>
      </c>
      <c r="C178" s="8" t="s">
        <v>141</v>
      </c>
      <c r="D178" s="6" t="s">
        <v>801</v>
      </c>
      <c r="E178" s="6"/>
      <c r="F178" s="6"/>
      <c r="G178" s="6" t="s">
        <v>77</v>
      </c>
      <c r="H178" s="6" t="s">
        <v>131</v>
      </c>
      <c r="I178" s="6" t="e">
        <f>VLOOKUP(H178,'[1]All Kend Dari Team ACC'!kendaraan,2,FALSE)</f>
        <v>#N/A</v>
      </c>
      <c r="J178" s="6" t="s">
        <v>815</v>
      </c>
      <c r="K178" s="6"/>
      <c r="L178" s="6">
        <v>44293</v>
      </c>
      <c r="M178" s="6" t="s">
        <v>816</v>
      </c>
      <c r="N178" s="6" t="s">
        <v>817</v>
      </c>
      <c r="O178" s="6" t="s">
        <v>82</v>
      </c>
      <c r="P178" s="9" t="s">
        <v>141</v>
      </c>
      <c r="Q178" s="9" t="s">
        <v>141</v>
      </c>
      <c r="R178" s="6"/>
      <c r="S178" s="6" t="s">
        <v>818</v>
      </c>
      <c r="T178" s="6"/>
    </row>
    <row r="179" spans="1:20" ht="15.75" x14ac:dyDescent="0.25">
      <c r="A179" s="6">
        <v>178</v>
      </c>
      <c r="B179" s="6" t="s">
        <v>141</v>
      </c>
      <c r="C179" s="8" t="s">
        <v>141</v>
      </c>
      <c r="D179" s="6" t="s">
        <v>801</v>
      </c>
      <c r="E179" s="6"/>
      <c r="F179" s="6"/>
      <c r="G179" s="6" t="s">
        <v>77</v>
      </c>
      <c r="H179" s="6" t="s">
        <v>131</v>
      </c>
      <c r="I179" s="6" t="e">
        <f>VLOOKUP(H179,'[1]All Kend Dari Team ACC'!kendaraan,2,FALSE)</f>
        <v>#N/A</v>
      </c>
      <c r="J179" s="6" t="s">
        <v>819</v>
      </c>
      <c r="K179" s="6"/>
      <c r="L179" s="6">
        <v>43906</v>
      </c>
      <c r="M179" s="6" t="s">
        <v>820</v>
      </c>
      <c r="N179" s="6" t="s">
        <v>821</v>
      </c>
      <c r="O179" s="6" t="s">
        <v>82</v>
      </c>
      <c r="P179" s="9" t="s">
        <v>141</v>
      </c>
      <c r="Q179" s="9" t="s">
        <v>141</v>
      </c>
      <c r="R179" s="6"/>
      <c r="S179" s="6" t="s">
        <v>822</v>
      </c>
      <c r="T179" s="6"/>
    </row>
    <row r="180" spans="1:20" ht="15.75" x14ac:dyDescent="0.25">
      <c r="A180" s="6">
        <v>179</v>
      </c>
      <c r="B180" s="6" t="s">
        <v>141</v>
      </c>
      <c r="C180" s="8" t="s">
        <v>141</v>
      </c>
      <c r="D180" s="6" t="s">
        <v>801</v>
      </c>
      <c r="E180" s="6"/>
      <c r="F180" s="6"/>
      <c r="G180" s="6" t="s">
        <v>77</v>
      </c>
      <c r="H180" s="6" t="s">
        <v>131</v>
      </c>
      <c r="I180" s="6" t="e">
        <f>VLOOKUP(H180,'[1]All Kend Dari Team ACC'!kendaraan,2,FALSE)</f>
        <v>#N/A</v>
      </c>
      <c r="J180" s="6" t="s">
        <v>823</v>
      </c>
      <c r="K180" s="6"/>
      <c r="L180" s="6">
        <v>44075</v>
      </c>
      <c r="M180" s="6" t="s">
        <v>824</v>
      </c>
      <c r="N180" s="6" t="s">
        <v>825</v>
      </c>
      <c r="O180" s="6" t="s">
        <v>82</v>
      </c>
      <c r="P180" s="9" t="s">
        <v>141</v>
      </c>
      <c r="Q180" s="9" t="s">
        <v>141</v>
      </c>
      <c r="R180" s="6"/>
      <c r="S180" s="6" t="s">
        <v>826</v>
      </c>
      <c r="T180" s="6"/>
    </row>
    <row r="181" spans="1:20" ht="15.75" x14ac:dyDescent="0.25">
      <c r="A181" s="6">
        <v>180</v>
      </c>
      <c r="B181" s="6" t="s">
        <v>141</v>
      </c>
      <c r="C181" s="8" t="s">
        <v>141</v>
      </c>
      <c r="D181" s="6" t="s">
        <v>199</v>
      </c>
      <c r="E181" s="6"/>
      <c r="F181" s="6"/>
      <c r="G181" s="6" t="s">
        <v>46</v>
      </c>
      <c r="H181" s="6" t="s">
        <v>71</v>
      </c>
      <c r="I181" s="6" t="str">
        <f>VLOOKUP(H181,'[1]All Kend Dari Team ACC'!kendaraan,2,FALSE)</f>
        <v>R4</v>
      </c>
      <c r="J181" s="6" t="s">
        <v>827</v>
      </c>
      <c r="K181" s="6"/>
      <c r="L181" s="6">
        <v>43263</v>
      </c>
      <c r="M181" s="6" t="s">
        <v>828</v>
      </c>
      <c r="N181" s="6" t="s">
        <v>829</v>
      </c>
      <c r="O181" s="6" t="s">
        <v>108</v>
      </c>
      <c r="P181" s="9" t="s">
        <v>109</v>
      </c>
      <c r="Q181" s="9" t="s">
        <v>109</v>
      </c>
      <c r="R181" s="6"/>
      <c r="S181" s="6" t="s">
        <v>830</v>
      </c>
      <c r="T181" s="6" t="s">
        <v>831</v>
      </c>
    </row>
    <row r="182" spans="1:20" ht="15.75" x14ac:dyDescent="0.25">
      <c r="A182" s="6">
        <v>181</v>
      </c>
      <c r="B182" s="6" t="s">
        <v>141</v>
      </c>
      <c r="C182" s="8" t="s">
        <v>141</v>
      </c>
      <c r="D182" s="6" t="s">
        <v>832</v>
      </c>
      <c r="E182" s="6"/>
      <c r="F182" s="6"/>
      <c r="G182" s="6" t="s">
        <v>25</v>
      </c>
      <c r="H182" s="6" t="s">
        <v>228</v>
      </c>
      <c r="I182" s="6" t="str">
        <f>VLOOKUP(H182,'[1]All Kend Dari Team ACC'!kendaraan,2,FALSE)</f>
        <v>R4</v>
      </c>
      <c r="J182" s="6" t="s">
        <v>833</v>
      </c>
      <c r="K182" s="6"/>
      <c r="L182" s="6"/>
      <c r="M182" s="6" t="s">
        <v>834</v>
      </c>
      <c r="N182" s="20" t="s">
        <v>835</v>
      </c>
      <c r="O182" s="20" t="s">
        <v>108</v>
      </c>
      <c r="P182" s="9" t="s">
        <v>109</v>
      </c>
      <c r="Q182" s="9" t="s">
        <v>141</v>
      </c>
      <c r="R182" s="6"/>
      <c r="S182" s="6" t="s">
        <v>836</v>
      </c>
      <c r="T182" s="6" t="s">
        <v>837</v>
      </c>
    </row>
    <row r="183" spans="1:20" ht="15.75" x14ac:dyDescent="0.25">
      <c r="A183" s="6">
        <v>182</v>
      </c>
      <c r="B183" s="6" t="s">
        <v>141</v>
      </c>
      <c r="C183" s="8" t="s">
        <v>141</v>
      </c>
      <c r="D183" s="6" t="s">
        <v>838</v>
      </c>
      <c r="E183" s="6"/>
      <c r="F183" s="6"/>
      <c r="G183" s="6" t="s">
        <v>46</v>
      </c>
      <c r="H183" s="6" t="s">
        <v>839</v>
      </c>
      <c r="I183" s="6" t="e">
        <f>VLOOKUP(H183,'[1]All Kend Dari Team ACC'!kendaraan,2,FALSE)</f>
        <v>#REF!</v>
      </c>
      <c r="J183" s="6" t="s">
        <v>840</v>
      </c>
      <c r="K183" s="6"/>
      <c r="L183" s="6">
        <v>43290</v>
      </c>
      <c r="M183" s="6" t="s">
        <v>841</v>
      </c>
      <c r="N183" s="6" t="s">
        <v>842</v>
      </c>
      <c r="O183" s="6" t="s">
        <v>108</v>
      </c>
      <c r="P183" s="9" t="s">
        <v>141</v>
      </c>
      <c r="Q183" s="9" t="s">
        <v>141</v>
      </c>
      <c r="R183" s="6"/>
      <c r="S183" s="6" t="s">
        <v>843</v>
      </c>
      <c r="T183" s="6"/>
    </row>
    <row r="184" spans="1:20" ht="15.75" x14ac:dyDescent="0.25">
      <c r="A184" s="6">
        <v>183</v>
      </c>
      <c r="B184" s="6" t="s">
        <v>141</v>
      </c>
      <c r="C184" s="8" t="s">
        <v>141</v>
      </c>
      <c r="D184" s="6" t="s">
        <v>844</v>
      </c>
      <c r="E184" s="6"/>
      <c r="F184" s="6"/>
      <c r="G184" s="6" t="s">
        <v>46</v>
      </c>
      <c r="H184" s="6" t="s">
        <v>105</v>
      </c>
      <c r="I184" s="6" t="str">
        <f>VLOOKUP(H184,'[1]All Kend Dari Team ACC'!kendaraan,2,FALSE)</f>
        <v>R4</v>
      </c>
      <c r="J184" s="6" t="s">
        <v>845</v>
      </c>
      <c r="K184" s="6"/>
      <c r="L184" s="6">
        <v>43098</v>
      </c>
      <c r="M184" s="6" t="s">
        <v>846</v>
      </c>
      <c r="N184" s="6" t="s">
        <v>847</v>
      </c>
      <c r="O184" s="6" t="s">
        <v>108</v>
      </c>
      <c r="P184" s="9" t="s">
        <v>141</v>
      </c>
      <c r="Q184" s="9" t="s">
        <v>141</v>
      </c>
      <c r="R184" s="6"/>
      <c r="S184" s="6" t="s">
        <v>843</v>
      </c>
      <c r="T184" s="6"/>
    </row>
    <row r="185" spans="1:20" ht="15.75" x14ac:dyDescent="0.25">
      <c r="A185" s="6">
        <v>184</v>
      </c>
      <c r="B185" s="13"/>
      <c r="C185" s="8"/>
      <c r="D185" s="13" t="s">
        <v>848</v>
      </c>
      <c r="E185" s="13"/>
      <c r="F185" s="13"/>
      <c r="G185" s="13" t="s">
        <v>46</v>
      </c>
      <c r="H185" s="13" t="s">
        <v>330</v>
      </c>
      <c r="I185" s="13" t="str">
        <f>VLOOKUP(H185,'[1]All Kend Dari Team ACC'!kendaraan,2,FALSE)</f>
        <v>R4</v>
      </c>
      <c r="J185" s="13" t="s">
        <v>849</v>
      </c>
      <c r="K185" s="13"/>
      <c r="L185" s="13"/>
      <c r="M185" s="13" t="s">
        <v>850</v>
      </c>
      <c r="N185" s="13" t="s">
        <v>850</v>
      </c>
      <c r="O185" s="13"/>
      <c r="P185" s="9"/>
      <c r="Q185" s="9"/>
      <c r="R185" s="13"/>
      <c r="S185" s="13"/>
      <c r="T185" s="13"/>
    </row>
    <row r="186" spans="1:20" ht="15.75" x14ac:dyDescent="0.25">
      <c r="A186" s="6">
        <v>185</v>
      </c>
      <c r="B186" s="13"/>
      <c r="C186" s="8"/>
      <c r="D186" s="13" t="s">
        <v>851</v>
      </c>
      <c r="E186" s="13"/>
      <c r="F186" s="13"/>
      <c r="G186" s="13" t="s">
        <v>77</v>
      </c>
      <c r="H186" s="13" t="s">
        <v>78</v>
      </c>
      <c r="I186" s="13" t="e">
        <f>VLOOKUP(H186,'[1]All Kend Dari Team ACC'!kendaraan,2,FALSE)</f>
        <v>#N/A</v>
      </c>
      <c r="J186" s="13" t="s">
        <v>852</v>
      </c>
      <c r="K186" s="13"/>
      <c r="L186" s="13"/>
      <c r="M186" s="13" t="s">
        <v>853</v>
      </c>
      <c r="N186" s="13" t="s">
        <v>854</v>
      </c>
      <c r="O186" s="13"/>
      <c r="P186" s="9"/>
      <c r="Q186" s="9"/>
      <c r="R186" s="13"/>
      <c r="S186" s="13" t="s">
        <v>233</v>
      </c>
      <c r="T186" s="13"/>
    </row>
    <row r="187" spans="1:20" ht="15.75" x14ac:dyDescent="0.25">
      <c r="A187" s="21"/>
      <c r="B187" s="21"/>
      <c r="C187" s="22"/>
      <c r="D187" s="21"/>
      <c r="E187" s="21"/>
      <c r="F187" s="21"/>
      <c r="G187" s="21"/>
      <c r="H187" s="21"/>
      <c r="I187" s="6"/>
      <c r="J187" s="21"/>
      <c r="K187" s="21"/>
      <c r="L187" s="21"/>
      <c r="M187" s="21"/>
      <c r="N187" s="21"/>
      <c r="O187" s="21"/>
      <c r="P187" s="23"/>
      <c r="Q187" s="23"/>
      <c r="R187" s="21"/>
      <c r="S187" s="21"/>
      <c r="T187" s="21"/>
    </row>
    <row r="188" spans="1:20" ht="15.75" x14ac:dyDescent="0.25">
      <c r="A188" s="21"/>
      <c r="B188" s="21" t="s">
        <v>855</v>
      </c>
      <c r="C188" s="22"/>
      <c r="D188" s="21"/>
      <c r="E188" s="21"/>
      <c r="F188" s="21"/>
      <c r="G188" s="21"/>
      <c r="H188" s="21"/>
      <c r="I188" s="6"/>
      <c r="J188" s="21"/>
      <c r="K188" s="21"/>
      <c r="L188" s="21"/>
      <c r="M188" s="21"/>
      <c r="N188" s="21"/>
      <c r="O188" s="21"/>
      <c r="P188" s="23"/>
      <c r="Q188" s="23"/>
      <c r="R188" s="21"/>
      <c r="S188" s="21"/>
      <c r="T188" s="21"/>
    </row>
    <row r="189" spans="1:20" ht="15.75" x14ac:dyDescent="0.25">
      <c r="A189" s="21"/>
      <c r="B189" s="21"/>
      <c r="C189" s="22"/>
      <c r="D189" s="21"/>
      <c r="E189" s="21"/>
      <c r="F189" s="21"/>
      <c r="G189" s="21"/>
      <c r="H189" s="21"/>
      <c r="I189" s="6"/>
      <c r="J189" s="21"/>
      <c r="K189" s="21"/>
      <c r="L189" s="21"/>
      <c r="M189" s="21"/>
      <c r="N189" s="21"/>
      <c r="O189" s="21"/>
      <c r="P189" s="23"/>
      <c r="Q189" s="23"/>
      <c r="R189" s="21"/>
      <c r="S189" s="21"/>
      <c r="T189" s="21"/>
    </row>
    <row r="190" spans="1:20" ht="15.75" x14ac:dyDescent="0.25">
      <c r="A190" s="21"/>
      <c r="B190" s="21"/>
      <c r="C190" s="22"/>
      <c r="D190" s="21"/>
      <c r="E190" s="21"/>
      <c r="F190" s="21"/>
      <c r="G190" s="21"/>
      <c r="H190" s="21"/>
      <c r="I190" s="6"/>
      <c r="J190" s="21"/>
      <c r="K190" s="21"/>
      <c r="L190" s="21"/>
      <c r="M190" s="21"/>
      <c r="N190" s="21"/>
      <c r="O190" s="21"/>
      <c r="P190" s="23"/>
      <c r="Q190" s="23"/>
      <c r="R190" s="21"/>
      <c r="S190" s="21"/>
      <c r="T190" s="21"/>
    </row>
    <row r="191" spans="1:20" ht="15.75" x14ac:dyDescent="0.25">
      <c r="A191" s="21"/>
      <c r="B191" s="6" t="s">
        <v>681</v>
      </c>
      <c r="C191" s="24" t="s">
        <v>58</v>
      </c>
      <c r="D191" s="21" t="s">
        <v>856</v>
      </c>
      <c r="E191" s="21"/>
      <c r="F191" s="21"/>
      <c r="G191" s="21" t="s">
        <v>51</v>
      </c>
      <c r="H191" s="21" t="s">
        <v>857</v>
      </c>
      <c r="I191" s="6" t="e">
        <f>VLOOKUP(H191,'[1]All Kend Dari Team ACC'!kendaraan,2,FALSE)</f>
        <v>#N/A</v>
      </c>
      <c r="J191" s="21" t="s">
        <v>858</v>
      </c>
      <c r="K191" s="21"/>
      <c r="L191" s="21">
        <v>2011</v>
      </c>
      <c r="M191" s="21" t="s">
        <v>859</v>
      </c>
      <c r="N191" s="21"/>
      <c r="O191" s="21"/>
      <c r="P191" s="23"/>
      <c r="Q191" s="23"/>
      <c r="R191" s="21"/>
      <c r="S191" s="21"/>
      <c r="T191" s="21"/>
    </row>
    <row r="192" spans="1:20" ht="15.75" x14ac:dyDescent="0.25">
      <c r="A192" s="25"/>
      <c r="B192" s="25"/>
      <c r="C192" s="26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7"/>
      <c r="Q192" s="27"/>
      <c r="R192" s="25"/>
      <c r="S192" s="25"/>
      <c r="T192" s="25"/>
    </row>
    <row r="193" spans="1:20" ht="15.75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/>
      <c r="Q193" s="27"/>
      <c r="R193" s="26"/>
      <c r="S193" s="26"/>
      <c r="T193" s="26"/>
    </row>
  </sheetData>
  <conditionalFormatting sqref="J1:J191">
    <cfRule type="notContainsBlanks" dxfId="0" priority="1">
      <formula>LEN(TRIM(J1))&gt;0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2026-03-03T02:42:06Z</dcterms:created>
  <dcterms:modified xsi:type="dcterms:W3CDTF">2026-04-02T08:16:54Z</dcterms:modified>
</cp:coreProperties>
</file>